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032edcb1d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b6ddff8c674583"/>
    <x:sheet xmlns:r="http://schemas.openxmlformats.org/officeDocument/2006/relationships" name="Candidate Data" sheetId="2" r:id="R18c6aa6dfac74a56"/>
    <x:sheet xmlns:r="http://schemas.openxmlformats.org/officeDocument/2006/relationships" name="Calculations" sheetId="3" r:id="R86bbf6292675423f"/>
    <x:sheet xmlns:r="http://schemas.openxmlformats.org/officeDocument/2006/relationships" name="Lists" sheetId="4" r:id="Re54804182da5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0"/>
    <x:numFmt numFmtId="202" formatCode="0.0"/>
    <x:numFmt numFmtId="203" formatCode="0.0%"/>
  </x:numFmts>
  <x:fonts count="21">
    <x:font>
      <x:sz val="11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i/>
      <x:sz val="11"/>
      <x:color rgb="FF9A3412"/>
      <x:name val="Carlito"/>
    </x:font>
    <x:font>
      <x:sz val="11"/>
      <x:color rgb="FFCBD5E1"/>
      <x:name val="Carlito"/>
    </x:font>
    <x:font>
      <x:b/>
      <x:sz val="11"/>
      <x:color rgb="FF475569"/>
      <x:name val="Carlito"/>
    </x:font>
    <x:font>
      <x:b/>
      <x:sz val="11"/>
      <x:color rgb="FF0F172A"/>
      <x:name val="Carlito"/>
    </x:font>
    <x:font>
      <x:i/>
      <x:sz val="11"/>
      <x:color rgb="FF1E40AF"/>
      <x:name val="Carlito"/>
    </x:font>
    <x:font>
      <x:b/>
      <x:sz val="11"/>
      <x:color rgb="FF1D4ED8"/>
      <x:name val="Carlito"/>
    </x:font>
    <x:font>
      <x:sz val="11"/>
      <x:color rgb="FF64748B"/>
      <x:name val="Carlito"/>
    </x:font>
    <x:font>
      <x:b/>
      <x:sz val="11"/>
      <x:color rgb="FF0369A1"/>
      <x:name val="Carlito"/>
    </x:font>
    <x:font>
      <x:b/>
      <x:sz val="11"/>
      <x:color rgb="FFB45309"/>
      <x:name val="Carlito"/>
    </x:font>
    <x:font>
      <x:b/>
      <x:sz val="11"/>
      <x:color rgb="FF15803D"/>
      <x:name val="Carlito"/>
    </x:font>
    <x:font>
      <x:b/>
      <x:sz val="11"/>
      <x:color rgb="FFB91C1C"/>
      <x:name val="Carlito"/>
    </x:font>
    <x:font>
      <x:b/>
      <x:sz val="11"/>
      <x:color rgb="FF6D28D9"/>
      <x:name val="Carlito"/>
    </x:font>
    <x:font>
      <x:b/>
      <x:sz val="11"/>
      <x:color rgb="FF0F766E"/>
      <x:name val="Carlito"/>
    </x:font>
    <x:font>
      <x:i/>
      <x:sz val="11"/>
      <x:color rgb="FFCBD5E1"/>
      <x:name val="Carlito"/>
    </x:font>
    <x:font>
      <x:i/>
      <x:sz val="11"/>
      <x:color rgb="FF64748B"/>
      <x:name val="Carlito"/>
    </x:font>
    <x:font>
      <x:b/>
      <x:sz val="11"/>
      <x:color rgb="FF166534"/>
      <x:name val="Carlito"/>
    </x:font>
    <x:font>
      <x:sz val="11"/>
      <x:color rgb="FF9A3412"/>
      <x:name val="Carlito"/>
    </x:font>
    <x:font>
      <x:i/>
      <x:sz val="11"/>
      <x:color rgb="FF475569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FF7ED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  <x:fill>
      <x:patternFill patternType="solid">
        <x:fgColor rgb="FFDBEAFE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EDE9FE"/>
      </x:patternFill>
    </x:fill>
    <x:fill>
      <x:patternFill patternType="solid">
        <x:fgColor rgb="FFCCFBF1"/>
      </x:patternFill>
    </x:fill>
    <x:fill>
      <x:patternFill patternType="solid">
        <x:fgColor rgb="FFEFF6FF"/>
      </x:patternFill>
    </x:fill>
    <x:fill>
      <x:patternFill patternType="solid">
        <x:fgColor rgb="FFF5F3FF"/>
      </x:patternFill>
    </x:fill>
    <x:fill>
      <x:patternFill patternType="solid">
        <x:fgColor rgb="FFFEF2F2"/>
      </x:patternFill>
    </x:fill>
    <x:fill>
      <x:patternFill patternType="solid">
        <x:fgColor rgb="FFF8FAFC"/>
      </x:patternFill>
    </x:fill>
    <x:fill>
      <x:patternFill patternType="solid">
        <x:fgColor rgb="FFECFDF5"/>
      </x:patternFill>
    </x:fill>
  </x:fills>
  <x:borders count="22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2" fillId="0" borderId="0" xfId="0" applyNumberFormat="1" applyFont="1" applyFill="1" applyBorder="1"/>
    <x:xf numFmtId="203" fontId="2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2" xfId="0" applyNumberFormat="1" applyFont="1" applyFill="1" applyBorder="1" applyAlignment="1">
      <x:alignment horizontal="left"/>
    </x:xf>
    <x:xf numFmtId="0" fontId="6" fillId="4" borderId="3" xfId="0" applyNumberFormat="1" applyFont="1" applyFill="1" applyBorder="1" applyAlignment="1">
      <x:alignment horizontal="left"/>
    </x:xf>
    <x:xf numFmtId="0" fontId="6" fillId="4" borderId="2" xfId="0" applyNumberFormat="1" applyFont="1" applyFill="1" applyBorder="1" applyAlignment="1">
      <x:alignment horizontal="left" vertical="center"/>
    </x:xf>
    <x:xf numFmtId="0" fontId="6" fillId="4" borderId="3" xfId="0" applyNumberFormat="1" applyFont="1" applyFill="1" applyBorder="1" applyAlignment="1">
      <x:alignment horizontal="left" vertical="center"/>
    </x:xf>
    <x:xf numFmtId="0" fontId="6" fillId="4" borderId="1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4" xfId="0" applyNumberFormat="1" applyFont="1" applyFill="1" applyBorder="1" applyAlignment="1">
      <x:alignment horizontal="left"/>
    </x:xf>
    <x:xf numFmtId="0" fontId="6" fillId="4" borderId="5" xfId="0" applyNumberFormat="1" applyFont="1" applyFill="1" applyBorder="1" applyAlignment="1">
      <x:alignment horizontal="left"/>
    </x:xf>
    <x:xf numFmtId="0" fontId="6" fillId="4" borderId="4" xfId="0" applyNumberFormat="1" applyFont="1" applyFill="1" applyBorder="1" applyAlignment="1">
      <x:alignment horizontal="left" vertical="center"/>
    </x:xf>
    <x:xf numFmtId="0" fontId="6" fillId="4" borderId="5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left" wrapText="1"/>
    </x:xf>
    <x:xf numFmtId="0" fontId="7" fillId="7" borderId="0" xfId="0" applyNumberFormat="1" applyFont="1" applyFill="1" applyBorder="1" applyAlignment="1">
      <x:alignment horizontal="left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left" wrapText="1"/>
    </x:xf>
    <x:xf numFmtId="0" fontId="7" fillId="7" borderId="1" xfId="0" applyNumberFormat="1" applyFont="1" applyFill="1" applyBorder="1" applyAlignment="1">
      <x:alignment horizontal="left" vertical="center" wrapText="1"/>
    </x:xf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6" xfId="0" applyNumberFormat="1" applyFont="1" applyFill="1" applyBorder="1" applyAlignment="1">
      <x:alignment horizontal="center"/>
    </x:xf>
    <x:xf numFmtId="0" fontId="8" fillId="7" borderId="7" xfId="0" applyNumberFormat="1" applyFont="1" applyFill="1" applyBorder="1" applyAlignment="1">
      <x:alignment horizont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8" fillId="7" borderId="7" xfId="0" applyNumberFormat="1" applyFont="1" applyFill="1" applyBorder="1" applyAlignment="1">
      <x:alignment horizontal="center" vertical="center"/>
    </x:xf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2" xfId="0" applyNumberFormat="1" applyFont="1" applyFill="1" applyBorder="1" applyAlignment="1">
      <x:alignment horizontal="center"/>
    </x:xf>
    <x:xf numFmtId="0" fontId="8" fillId="7" borderId="13" xfId="0" applyNumberFormat="1" applyFont="1" applyFill="1" applyBorder="1" applyAlignment="1">
      <x:alignment horizontal="center"/>
    </x:xf>
    <x:xf numFmtId="0" fontId="8" fillId="7" borderId="12" xfId="0" applyNumberFormat="1" applyFont="1" applyFill="1" applyBorder="1" applyAlignment="1">
      <x:alignment horizontal="center" vertical="center"/>
    </x:xf>
    <x:xf numFmtId="0" fontId="8" fillId="7" borderId="13" xfId="0" applyNumberFormat="1" applyFont="1" applyFill="1" applyBorder="1" applyAlignment="1">
      <x:alignment horizontal="center" vertical="center"/>
    </x:xf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0" fontId="8" fillId="4" borderId="8" xfId="0" applyNumberFormat="1" applyFont="1" applyFill="1" applyBorder="1" applyAlignment="1">
      <x:alignment horizontal="center"/>
    </x:xf>
    <x:xf numFmtId="0" fontId="8" fillId="4" borderId="9" xfId="0" applyNumberFormat="1" applyFont="1" applyFill="1" applyBorder="1" applyAlignment="1">
      <x:alignment horizontal="center"/>
    </x:xf>
    <x:xf numFmtId="0" fontId="8" fillId="4" borderId="8" xfId="0" applyNumberFormat="1" applyFont="1" applyFill="1" applyBorder="1" applyAlignment="1">
      <x:alignment horizontal="center" vertical="center"/>
    </x:xf>
    <x:xf numFmtId="0" fontId="8" fillId="4" borderId="9" xfId="0" applyNumberFormat="1" applyFont="1" applyFill="1" applyBorder="1" applyAlignment="1">
      <x:alignment horizontal="center" vertical="center"/>
    </x:xf>
    <x:xf numFmtId="0" fontId="8" fillId="4" borderId="14" xfId="0" applyNumberFormat="1" applyFont="1" applyFill="1" applyBorder="1"/>
    <x:xf numFmtId="0" fontId="8" fillId="4" borderId="15" xfId="0" applyNumberFormat="1" applyFont="1" applyFill="1" applyBorder="1"/>
    <x:xf numFmtId="0" fontId="8" fillId="4" borderId="14" xfId="0" applyNumberFormat="1" applyFont="1" applyFill="1" applyBorder="1" applyAlignment="1">
      <x:alignment horizontal="center"/>
    </x:xf>
    <x:xf numFmtId="0" fontId="8" fillId="4" borderId="15" xfId="0" applyNumberFormat="1" applyFont="1" applyFill="1" applyBorder="1" applyAlignment="1">
      <x:alignment horizontal="center"/>
    </x:xf>
    <x:xf numFmtId="0" fontId="8" fillId="4" borderId="14" xfId="0" applyNumberFormat="1" applyFont="1" applyFill="1" applyBorder="1" applyAlignment="1">
      <x:alignment horizontal="center" vertical="center"/>
    </x:xf>
    <x:xf numFmtId="0" fontId="8" fillId="4" borderId="15" xfId="0" applyNumberFormat="1" applyFont="1" applyFill="1" applyBorder="1" applyAlignment="1">
      <x:alignment horizontal="center" vertical="center"/>
    </x:xf>
    <x:xf numFmtId="0" fontId="9" fillId="4" borderId="10" xfId="0" applyNumberFormat="1" applyFont="1" applyFill="1" applyBorder="1"/>
    <x:xf numFmtId="0" fontId="9" fillId="4" borderId="11" xfId="0" applyNumberFormat="1" applyFont="1" applyFill="1" applyBorder="1"/>
    <x:xf numFmtId="0" fontId="9" fillId="4" borderId="10" xfId="0" applyNumberFormat="1" applyFont="1" applyFill="1" applyBorder="1" applyAlignment="1">
      <x:alignment horizontal="center"/>
    </x:xf>
    <x:xf numFmtId="0" fontId="9" fillId="4" borderId="11" xfId="0" applyNumberFormat="1" applyFont="1" applyFill="1" applyBorder="1" applyAlignment="1">
      <x:alignment horizontal="center"/>
    </x:xf>
    <x:xf numFmtId="0" fontId="9" fillId="4" borderId="10" xfId="0" applyNumberFormat="1" applyFont="1" applyFill="1" applyBorder="1" applyAlignment="1">
      <x:alignment horizontal="center" vertical="center"/>
    </x:xf>
    <x:xf numFmtId="0" fontId="9" fillId="4" borderId="11" xfId="0" applyNumberFormat="1" applyFont="1" applyFill="1" applyBorder="1" applyAlignment="1">
      <x:alignment horizontal="center" vertical="center"/>
    </x:xf>
    <x:xf numFmtId="0" fontId="9" fillId="4" borderId="16" xfId="0" applyNumberFormat="1" applyFont="1" applyFill="1" applyBorder="1"/>
    <x:xf numFmtId="0" fontId="9" fillId="4" borderId="17" xfId="0" applyNumberFormat="1" applyFont="1" applyFill="1" applyBorder="1"/>
    <x:xf numFmtId="0" fontId="9" fillId="4" borderId="16" xfId="0" applyNumberFormat="1" applyFont="1" applyFill="1" applyBorder="1" applyAlignment="1">
      <x:alignment horizontal="center"/>
    </x:xf>
    <x:xf numFmtId="0" fontId="9" fillId="4" borderId="17" xfId="0" applyNumberFormat="1" applyFont="1" applyFill="1" applyBorder="1" applyAlignment="1">
      <x:alignment horizontal="center"/>
    </x:xf>
    <x:xf numFmtId="0" fontId="9" fillId="4" borderId="16" xfId="0" applyNumberFormat="1" applyFont="1" applyFill="1" applyBorder="1" applyAlignment="1">
      <x:alignment horizontal="center" vertical="center"/>
    </x:xf>
    <x:xf numFmtId="0" fontId="9" fillId="4" borderId="17" xfId="0" applyNumberFormat="1" applyFont="1" applyFill="1" applyBorder="1" applyAlignment="1">
      <x:alignment horizontal="center" vertical="center"/>
    </x:xf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10" fillId="8" borderId="12" xfId="0" applyNumberFormat="1" applyFont="1" applyFill="1" applyBorder="1"/>
    <x:xf numFmtId="0" fontId="10" fillId="8" borderId="13" xfId="0" applyNumberFormat="1" applyFont="1" applyFill="1" applyBorder="1"/>
    <x:xf numFmtId="0" fontId="10" fillId="8" borderId="12" xfId="0" applyNumberFormat="1" applyFont="1" applyFill="1" applyBorder="1" applyAlignment="1">
      <x:alignment horizontal="center"/>
    </x:xf>
    <x:xf numFmtId="0" fontId="10" fillId="8" borderId="13" xfId="0" applyNumberFormat="1" applyFont="1" applyFill="1" applyBorder="1" applyAlignment="1">
      <x:alignment horizontal="center"/>
    </x:xf>
    <x:xf numFmtId="0" fontId="10" fillId="8" borderId="12" xfId="0" applyNumberFormat="1" applyFont="1" applyFill="1" applyBorder="1" applyAlignment="1">
      <x:alignment horizontal="center" vertical="center"/>
    </x:xf>
    <x:xf numFmtId="0" fontId="10" fillId="8" borderId="13" xfId="0" applyNumberFormat="1" applyFont="1" applyFill="1" applyBorder="1" applyAlignment="1">
      <x:alignment horizontal="center" vertical="center"/>
    </x:xf>
    <x:xf numFmtId="0" fontId="10" fillId="4" borderId="8" xfId="0" applyNumberFormat="1" applyFont="1" applyFill="1" applyBorder="1"/>
    <x:xf numFmtId="0" fontId="10" fillId="4" borderId="9" xfId="0" applyNumberFormat="1" applyFont="1" applyFill="1" applyBorder="1"/>
    <x:xf numFmtId="0" fontId="10" fillId="4" borderId="8" xfId="0" applyNumberFormat="1" applyFont="1" applyFill="1" applyBorder="1" applyAlignment="1">
      <x:alignment horizontal="center"/>
    </x:xf>
    <x:xf numFmtId="0" fontId="10" fillId="4" borderId="9" xfId="0" applyNumberFormat="1" applyFont="1" applyFill="1" applyBorder="1" applyAlignment="1">
      <x:alignment horizontal="center"/>
    </x:xf>
    <x:xf numFmtId="0" fontId="10" fillId="4" borderId="8" xfId="0" applyNumberFormat="1" applyFont="1" applyFill="1" applyBorder="1" applyAlignment="1">
      <x:alignment horizontal="center" vertical="center"/>
    </x:xf>
    <x:xf numFmtId="0" fontId="10" fillId="4" borderId="9" xfId="0" applyNumberFormat="1" applyFont="1" applyFill="1" applyBorder="1" applyAlignment="1">
      <x:alignment horizontal="center" vertical="center"/>
    </x:xf>
    <x:xf numFmtId="0" fontId="10" fillId="4" borderId="14" xfId="0" applyNumberFormat="1" applyFont="1" applyFill="1" applyBorder="1"/>
    <x:xf numFmtId="0" fontId="10" fillId="4" borderId="15" xfId="0" applyNumberFormat="1" applyFont="1" applyFill="1" applyBorder="1"/>
    <x:xf numFmtId="0" fontId="10" fillId="4" borderId="14" xfId="0" applyNumberFormat="1" applyFont="1" applyFill="1" applyBorder="1" applyAlignment="1">
      <x:alignment horizontal="center"/>
    </x:xf>
    <x:xf numFmtId="0" fontId="10" fillId="4" borderId="15" xfId="0" applyNumberFormat="1" applyFont="1" applyFill="1" applyBorder="1" applyAlignment="1">
      <x:alignment horizontal="center"/>
    </x:xf>
    <x:xf numFmtId="0" fontId="10" fillId="4" borderId="14" xfId="0" applyNumberFormat="1" applyFont="1" applyFill="1" applyBorder="1" applyAlignment="1">
      <x:alignment horizontal="center" vertical="center"/>
    </x:xf>
    <x:xf numFmtId="0" fontId="10" fillId="4" borderId="15" xfId="0" applyNumberFormat="1" applyFont="1" applyFill="1" applyBorder="1" applyAlignment="1">
      <x:alignment horizontal="center" vertical="center"/>
    </x:xf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0" fontId="11" fillId="9" borderId="6" xfId="0" applyNumberFormat="1" applyFont="1" applyFill="1" applyBorder="1"/>
    <x:xf numFmtId="0" fontId="11" fillId="9" borderId="7" xfId="0" applyNumberFormat="1" applyFont="1" applyFill="1" applyBorder="1"/>
    <x:xf numFmtId="0" fontId="11" fillId="9" borderId="6" xfId="0" applyNumberFormat="1" applyFont="1" applyFill="1" applyBorder="1" applyAlignment="1">
      <x:alignment horizontal="center"/>
    </x:xf>
    <x:xf numFmtId="0" fontId="11" fillId="9" borderId="7" xfId="0" applyNumberFormat="1" applyFont="1" applyFill="1" applyBorder="1" applyAlignment="1">
      <x:alignment horizontal="center"/>
    </x:xf>
    <x:xf numFmtId="0" fontId="11" fillId="9" borderId="6" xfId="0" applyNumberFormat="1" applyFont="1" applyFill="1" applyBorder="1" applyAlignment="1">
      <x:alignment horizontal="center" vertical="center"/>
    </x:xf>
    <x:xf numFmtId="0" fontId="11" fillId="9" borderId="7" xfId="0" applyNumberFormat="1" applyFont="1" applyFill="1" applyBorder="1" applyAlignment="1">
      <x:alignment horizontal="center" vertical="center"/>
    </x:xf>
    <x:xf numFmtId="0" fontId="0" fillId="9" borderId="12" xfId="0" applyNumberFormat="1" applyFont="1" applyFill="1" applyBorder="1"/>
    <x:xf numFmtId="0" fontId="0" fillId="9" borderId="13" xfId="0" applyNumberFormat="1" applyFont="1" applyFill="1" applyBorder="1"/>
    <x:xf numFmtId="0" fontId="11" fillId="9" borderId="12" xfId="0" applyNumberFormat="1" applyFont="1" applyFill="1" applyBorder="1"/>
    <x:xf numFmtId="0" fontId="11" fillId="9" borderId="13" xfId="0" applyNumberFormat="1" applyFont="1" applyFill="1" applyBorder="1"/>
    <x:xf numFmtId="0" fontId="11" fillId="9" borderId="12" xfId="0" applyNumberFormat="1" applyFont="1" applyFill="1" applyBorder="1" applyAlignment="1">
      <x:alignment horizontal="center"/>
    </x:xf>
    <x:xf numFmtId="0" fontId="11" fillId="9" borderId="13" xfId="0" applyNumberFormat="1" applyFont="1" applyFill="1" applyBorder="1" applyAlignment="1">
      <x:alignment horizontal="center"/>
    </x:xf>
    <x:xf numFmtId="0" fontId="11" fillId="9" borderId="12" xfId="0" applyNumberFormat="1" applyFont="1" applyFill="1" applyBorder="1" applyAlignment="1">
      <x:alignment horizontal="center" vertical="center"/>
    </x:xf>
    <x:xf numFmtId="0" fontId="11" fillId="9" borderId="13" xfId="0" applyNumberFormat="1" applyFont="1" applyFill="1" applyBorder="1" applyAlignment="1">
      <x:alignment horizontal="center" vertical="center"/>
    </x:xf>
    <x:xf numFmtId="0" fontId="11" fillId="4" borderId="8" xfId="0" applyNumberFormat="1" applyFont="1" applyFill="1" applyBorder="1"/>
    <x:xf numFmtId="0" fontId="11" fillId="4" borderId="9" xfId="0" applyNumberFormat="1" applyFont="1" applyFill="1" applyBorder="1"/>
    <x:xf numFmtId="0" fontId="11" fillId="4" borderId="8" xfId="0" applyNumberFormat="1" applyFont="1" applyFill="1" applyBorder="1" applyAlignment="1">
      <x:alignment horizontal="center"/>
    </x:xf>
    <x:xf numFmtId="0" fontId="11" fillId="4" borderId="9" xfId="0" applyNumberFormat="1" applyFont="1" applyFill="1" applyBorder="1" applyAlignment="1">
      <x:alignment horizontal="center"/>
    </x:xf>
    <x:xf numFmtId="0" fontId="11" fillId="4" borderId="8" xfId="0" applyNumberFormat="1" applyFont="1" applyFill="1" applyBorder="1" applyAlignment="1">
      <x:alignment horizontal="center" vertical="center"/>
    </x:xf>
    <x:xf numFmtId="0" fontId="11" fillId="4" borderId="9" xfId="0" applyNumberFormat="1" applyFont="1" applyFill="1" applyBorder="1" applyAlignment="1">
      <x:alignment horizontal="center" vertical="center"/>
    </x:xf>
    <x:xf numFmtId="0" fontId="11" fillId="4" borderId="14" xfId="0" applyNumberFormat="1" applyFont="1" applyFill="1" applyBorder="1"/>
    <x:xf numFmtId="0" fontId="11" fillId="4" borderId="15" xfId="0" applyNumberFormat="1" applyFont="1" applyFill="1" applyBorder="1"/>
    <x:xf numFmtId="0" fontId="11" fillId="4" borderId="14" xfId="0" applyNumberFormat="1" applyFont="1" applyFill="1" applyBorder="1" applyAlignment="1">
      <x:alignment horizontal="center"/>
    </x:xf>
    <x:xf numFmtId="0" fontId="11" fillId="4" borderId="15" xfId="0" applyNumberFormat="1" applyFont="1" applyFill="1" applyBorder="1" applyAlignment="1">
      <x:alignment horizontal="center"/>
    </x:xf>
    <x:xf numFmtId="0" fontId="11" fillId="4" borderId="14" xfId="0" applyNumberFormat="1" applyFont="1" applyFill="1" applyBorder="1" applyAlignment="1">
      <x:alignment horizontal="center" vertical="center"/>
    </x:xf>
    <x:xf numFmtId="0" fontId="11" fillId="4" borderId="15" xfId="0" applyNumberFormat="1" applyFont="1" applyFill="1" applyBorder="1" applyAlignment="1">
      <x:alignment horizontal="center" vertical="center"/>
    </x:xf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12" fillId="10" borderId="6" xfId="0" applyNumberFormat="1" applyFont="1" applyFill="1" applyBorder="1"/>
    <x:xf numFmtId="0" fontId="12" fillId="10" borderId="7" xfId="0" applyNumberFormat="1" applyFont="1" applyFill="1" applyBorder="1"/>
    <x:xf numFmtId="0" fontId="12" fillId="10" borderId="6" xfId="0" applyNumberFormat="1" applyFont="1" applyFill="1" applyBorder="1" applyAlignment="1">
      <x:alignment horizontal="center"/>
    </x:xf>
    <x:xf numFmtId="0" fontId="12" fillId="10" borderId="7" xfId="0" applyNumberFormat="1" applyFont="1" applyFill="1" applyBorder="1" applyAlignment="1">
      <x:alignment horizontal="center"/>
    </x:xf>
    <x:xf numFmtId="0" fontId="12" fillId="10" borderId="6" xfId="0" applyNumberFormat="1" applyFont="1" applyFill="1" applyBorder="1" applyAlignment="1">
      <x:alignment horizontal="center" vertical="center"/>
    </x:xf>
    <x:xf numFmtId="0" fontId="12" fillId="10" borderId="7" xfId="0" applyNumberFormat="1" applyFont="1" applyFill="1" applyBorder="1" applyAlignment="1">
      <x:alignment horizontal="center" vertical="center"/>
    </x:xf>
    <x:xf numFmtId="0" fontId="0" fillId="10" borderId="12" xfId="0" applyNumberFormat="1" applyFont="1" applyFill="1" applyBorder="1"/>
    <x:xf numFmtId="0" fontId="0" fillId="10" borderId="13" xfId="0" applyNumberFormat="1" applyFont="1" applyFill="1" applyBorder="1"/>
    <x:xf numFmtId="0" fontId="12" fillId="10" borderId="12" xfId="0" applyNumberFormat="1" applyFont="1" applyFill="1" applyBorder="1"/>
    <x:xf numFmtId="0" fontId="12" fillId="10" borderId="13" xfId="0" applyNumberFormat="1" applyFont="1" applyFill="1" applyBorder="1"/>
    <x:xf numFmtId="0" fontId="12" fillId="10" borderId="12" xfId="0" applyNumberFormat="1" applyFont="1" applyFill="1" applyBorder="1" applyAlignment="1">
      <x:alignment horizontal="center"/>
    </x:xf>
    <x:xf numFmtId="0" fontId="12" fillId="10" borderId="13" xfId="0" applyNumberFormat="1" applyFont="1" applyFill="1" applyBorder="1" applyAlignment="1">
      <x:alignment horizontal="center"/>
    </x:xf>
    <x:xf numFmtId="0" fontId="12" fillId="10" borderId="12" xfId="0" applyNumberFormat="1" applyFont="1" applyFill="1" applyBorder="1" applyAlignment="1">
      <x:alignment horizontal="center" vertical="center"/>
    </x:xf>
    <x:xf numFmtId="0" fontId="12" fillId="10" borderId="13" xfId="0" applyNumberFormat="1" applyFont="1" applyFill="1" applyBorder="1" applyAlignment="1">
      <x:alignment horizontal="center" vertical="center"/>
    </x:xf>
    <x:xf numFmtId="0" fontId="12" fillId="4" borderId="8" xfId="0" applyNumberFormat="1" applyFont="1" applyFill="1" applyBorder="1"/>
    <x:xf numFmtId="0" fontId="12" fillId="4" borderId="9" xfId="0" applyNumberFormat="1" applyFont="1" applyFill="1" applyBorder="1"/>
    <x:xf numFmtId="0" fontId="12" fillId="4" borderId="8" xfId="0" applyNumberFormat="1" applyFont="1" applyFill="1" applyBorder="1" applyAlignment="1">
      <x:alignment horizontal="center"/>
    </x:xf>
    <x:xf numFmtId="0" fontId="12" fillId="4" borderId="9" xfId="0" applyNumberFormat="1" applyFont="1" applyFill="1" applyBorder="1" applyAlignment="1">
      <x:alignment horizontal="center"/>
    </x:xf>
    <x:xf numFmtId="0" fontId="12" fillId="4" borderId="8" xfId="0" applyNumberFormat="1" applyFont="1" applyFill="1" applyBorder="1" applyAlignment="1">
      <x:alignment horizontal="center" vertical="center"/>
    </x:xf>
    <x:xf numFmtId="0" fontId="12" fillId="4" borderId="9" xfId="0" applyNumberFormat="1" applyFont="1" applyFill="1" applyBorder="1" applyAlignment="1">
      <x:alignment horizontal="center" vertical="center"/>
    </x:xf>
    <x:xf numFmtId="0" fontId="12" fillId="4" borderId="14" xfId="0" applyNumberFormat="1" applyFont="1" applyFill="1" applyBorder="1"/>
    <x:xf numFmtId="0" fontId="12" fillId="4" borderId="15" xfId="0" applyNumberFormat="1" applyFont="1" applyFill="1" applyBorder="1"/>
    <x:xf numFmtId="0" fontId="12" fillId="4" borderId="14" xfId="0" applyNumberFormat="1" applyFont="1" applyFill="1" applyBorder="1" applyAlignment="1">
      <x:alignment horizontal="center"/>
    </x:xf>
    <x:xf numFmtId="0" fontId="12" fillId="4" borderId="15" xfId="0" applyNumberFormat="1" applyFont="1" applyFill="1" applyBorder="1" applyAlignment="1">
      <x:alignment horizontal="center"/>
    </x:xf>
    <x:xf numFmtId="0" fontId="12" fillId="4" borderId="14" xfId="0" applyNumberFormat="1" applyFont="1" applyFill="1" applyBorder="1" applyAlignment="1">
      <x:alignment horizontal="center" vertical="center"/>
    </x:xf>
    <x:xf numFmtId="0" fontId="12" fillId="4" borderId="15" xfId="0" applyNumberFormat="1" applyFont="1" applyFill="1" applyBorder="1" applyAlignment="1">
      <x:alignment horizontal="center" vertical="center"/>
    </x:xf>
    <x:xf numFmtId="0" fontId="0" fillId="11" borderId="6" xfId="0" applyNumberFormat="1" applyFont="1" applyFill="1" applyBorder="1"/>
    <x:xf numFmtId="0" fontId="0" fillId="11" borderId="7" xfId="0" applyNumberFormat="1" applyFont="1" applyFill="1" applyBorder="1"/>
    <x:xf numFmtId="0" fontId="13" fillId="11" borderId="6" xfId="0" applyNumberFormat="1" applyFont="1" applyFill="1" applyBorder="1"/>
    <x:xf numFmtId="0" fontId="13" fillId="11" borderId="7" xfId="0" applyNumberFormat="1" applyFont="1" applyFill="1" applyBorder="1"/>
    <x:xf numFmtId="0" fontId="13" fillId="11" borderId="6" xfId="0" applyNumberFormat="1" applyFont="1" applyFill="1" applyBorder="1" applyAlignment="1">
      <x:alignment horizontal="center"/>
    </x:xf>
    <x:xf numFmtId="0" fontId="13" fillId="11" borderId="7" xfId="0" applyNumberFormat="1" applyFont="1" applyFill="1" applyBorder="1" applyAlignment="1">
      <x:alignment horizontal="center"/>
    </x:xf>
    <x:xf numFmtId="0" fontId="13" fillId="11" borderId="6" xfId="0" applyNumberFormat="1" applyFont="1" applyFill="1" applyBorder="1" applyAlignment="1">
      <x:alignment horizontal="center" vertical="center"/>
    </x:xf>
    <x:xf numFmtId="0" fontId="13" fillId="11" borderId="7" xfId="0" applyNumberFormat="1" applyFont="1" applyFill="1" applyBorder="1" applyAlignment="1">
      <x:alignment horizontal="center" vertical="center"/>
    </x:xf>
    <x:xf numFmtId="0" fontId="0" fillId="11" borderId="12" xfId="0" applyNumberFormat="1" applyFont="1" applyFill="1" applyBorder="1"/>
    <x:xf numFmtId="0" fontId="0" fillId="11" borderId="13" xfId="0" applyNumberFormat="1" applyFont="1" applyFill="1" applyBorder="1"/>
    <x:xf numFmtId="0" fontId="13" fillId="11" borderId="12" xfId="0" applyNumberFormat="1" applyFont="1" applyFill="1" applyBorder="1"/>
    <x:xf numFmtId="0" fontId="13" fillId="11" borderId="13" xfId="0" applyNumberFormat="1" applyFont="1" applyFill="1" applyBorder="1"/>
    <x:xf numFmtId="0" fontId="13" fillId="11" borderId="12" xfId="0" applyNumberFormat="1" applyFont="1" applyFill="1" applyBorder="1" applyAlignment="1">
      <x:alignment horizontal="center"/>
    </x:xf>
    <x:xf numFmtId="0" fontId="13" fillId="11" borderId="13" xfId="0" applyNumberFormat="1" applyFont="1" applyFill="1" applyBorder="1" applyAlignment="1">
      <x:alignment horizontal="center"/>
    </x:xf>
    <x:xf numFmtId="0" fontId="13" fillId="11" borderId="12" xfId="0" applyNumberFormat="1" applyFont="1" applyFill="1" applyBorder="1" applyAlignment="1">
      <x:alignment horizontal="center" vertical="center"/>
    </x:xf>
    <x:xf numFmtId="0" fontId="13" fillId="11" borderId="13" xfId="0" applyNumberFormat="1" applyFont="1" applyFill="1" applyBorder="1" applyAlignment="1">
      <x:alignment horizontal="center" vertical="center"/>
    </x:xf>
    <x:xf numFmtId="0" fontId="13" fillId="4" borderId="8" xfId="0" applyNumberFormat="1" applyFont="1" applyFill="1" applyBorder="1"/>
    <x:xf numFmtId="0" fontId="13" fillId="4" borderId="9" xfId="0" applyNumberFormat="1" applyFont="1" applyFill="1" applyBorder="1"/>
    <x:xf numFmtId="0" fontId="13" fillId="4" borderId="8" xfId="0" applyNumberFormat="1" applyFont="1" applyFill="1" applyBorder="1" applyAlignment="1">
      <x:alignment horizontal="center"/>
    </x:xf>
    <x:xf numFmtId="0" fontId="13" fillId="4" borderId="9" xfId="0" applyNumberFormat="1" applyFont="1" applyFill="1" applyBorder="1" applyAlignment="1">
      <x:alignment horizontal="center"/>
    </x:xf>
    <x:xf numFmtId="0" fontId="13" fillId="4" borderId="8" xfId="0" applyNumberFormat="1" applyFont="1" applyFill="1" applyBorder="1" applyAlignment="1">
      <x:alignment horizontal="center" vertical="center"/>
    </x:xf>
    <x:xf numFmtId="0" fontId="13" fillId="4" borderId="9" xfId="0" applyNumberFormat="1" applyFont="1" applyFill="1" applyBorder="1" applyAlignment="1">
      <x:alignment horizontal="center" vertical="center"/>
    </x:xf>
    <x:xf numFmtId="0" fontId="13" fillId="4" borderId="14" xfId="0" applyNumberFormat="1" applyFont="1" applyFill="1" applyBorder="1"/>
    <x:xf numFmtId="0" fontId="13" fillId="4" borderId="15" xfId="0" applyNumberFormat="1" applyFont="1" applyFill="1" applyBorder="1"/>
    <x:xf numFmtId="0" fontId="13" fillId="4" borderId="14" xfId="0" applyNumberFormat="1" applyFont="1" applyFill="1" applyBorder="1" applyAlignment="1">
      <x:alignment horizontal="center"/>
    </x:xf>
    <x:xf numFmtId="0" fontId="13" fillId="4" borderId="15" xfId="0" applyNumberFormat="1" applyFont="1" applyFill="1" applyBorder="1" applyAlignment="1">
      <x:alignment horizontal="center"/>
    </x:xf>
    <x:xf numFmtId="0" fontId="13" fillId="4" borderId="14" xfId="0" applyNumberFormat="1" applyFont="1" applyFill="1" applyBorder="1" applyAlignment="1">
      <x:alignment horizontal="center" vertical="center"/>
    </x:xf>
    <x:xf numFmtId="0" fontId="13" fillId="4" borderId="15" xfId="0" applyNumberFormat="1" applyFont="1" applyFill="1" applyBorder="1" applyAlignment="1">
      <x:alignment horizontal="center" vertical="center"/>
    </x:xf>
    <x:xf numFmtId="0" fontId="0" fillId="12" borderId="6" xfId="0" applyNumberFormat="1" applyFont="1" applyFill="1" applyBorder="1"/>
    <x:xf numFmtId="0" fontId="0" fillId="12" borderId="7" xfId="0" applyNumberFormat="1" applyFont="1" applyFill="1" applyBorder="1"/>
    <x:xf numFmtId="0" fontId="14" fillId="12" borderId="6" xfId="0" applyNumberFormat="1" applyFont="1" applyFill="1" applyBorder="1"/>
    <x:xf numFmtId="0" fontId="14" fillId="12" borderId="7" xfId="0" applyNumberFormat="1" applyFont="1" applyFill="1" applyBorder="1"/>
    <x:xf numFmtId="0" fontId="14" fillId="12" borderId="6" xfId="0" applyNumberFormat="1" applyFont="1" applyFill="1" applyBorder="1" applyAlignment="1">
      <x:alignment horizontal="center"/>
    </x:xf>
    <x:xf numFmtId="0" fontId="14" fillId="12" borderId="7" xfId="0" applyNumberFormat="1" applyFont="1" applyFill="1" applyBorder="1" applyAlignment="1">
      <x:alignment horizontal="center"/>
    </x:xf>
    <x:xf numFmtId="0" fontId="14" fillId="12" borderId="6" xfId="0" applyNumberFormat="1" applyFont="1" applyFill="1" applyBorder="1" applyAlignment="1">
      <x:alignment horizontal="center" vertical="center"/>
    </x:xf>
    <x:xf numFmtId="0" fontId="14" fillId="12" borderId="7" xfId="0" applyNumberFormat="1" applyFont="1" applyFill="1" applyBorder="1" applyAlignment="1">
      <x:alignment horizontal="center" vertical="center"/>
    </x:xf>
    <x:xf numFmtId="0" fontId="0" fillId="12" borderId="12" xfId="0" applyNumberFormat="1" applyFont="1" applyFill="1" applyBorder="1"/>
    <x:xf numFmtId="0" fontId="0" fillId="12" borderId="13" xfId="0" applyNumberFormat="1" applyFont="1" applyFill="1" applyBorder="1"/>
    <x:xf numFmtId="0" fontId="14" fillId="12" borderId="12" xfId="0" applyNumberFormat="1" applyFont="1" applyFill="1" applyBorder="1"/>
    <x:xf numFmtId="0" fontId="14" fillId="12" borderId="13" xfId="0" applyNumberFormat="1" applyFont="1" applyFill="1" applyBorder="1"/>
    <x:xf numFmtId="0" fontId="14" fillId="12" borderId="12" xfId="0" applyNumberFormat="1" applyFont="1" applyFill="1" applyBorder="1" applyAlignment="1">
      <x:alignment horizontal="center"/>
    </x:xf>
    <x:xf numFmtId="0" fontId="14" fillId="12" borderId="13" xfId="0" applyNumberFormat="1" applyFont="1" applyFill="1" applyBorder="1" applyAlignment="1">
      <x:alignment horizontal="center"/>
    </x:xf>
    <x:xf numFmtId="0" fontId="14" fillId="12" borderId="12" xfId="0" applyNumberFormat="1" applyFont="1" applyFill="1" applyBorder="1" applyAlignment="1">
      <x:alignment horizontal="center" vertical="center"/>
    </x:xf>
    <x:xf numFmtId="0" fontId="14" fillId="12" borderId="13" xfId="0" applyNumberFormat="1" applyFont="1" applyFill="1" applyBorder="1" applyAlignment="1">
      <x:alignment horizontal="center" vertical="center"/>
    </x:xf>
    <x:xf numFmtId="0" fontId="14" fillId="4" borderId="8" xfId="0" applyNumberFormat="1" applyFont="1" applyFill="1" applyBorder="1"/>
    <x:xf numFmtId="0" fontId="14" fillId="4" borderId="9" xfId="0" applyNumberFormat="1" applyFont="1" applyFill="1" applyBorder="1"/>
    <x:xf numFmtId="0" fontId="14" fillId="4" borderId="8" xfId="0" applyNumberFormat="1" applyFont="1" applyFill="1" applyBorder="1" applyAlignment="1">
      <x:alignment horizontal="center"/>
    </x:xf>
    <x:xf numFmtId="0" fontId="14" fillId="4" borderId="9" xfId="0" applyNumberFormat="1" applyFont="1" applyFill="1" applyBorder="1" applyAlignment="1">
      <x:alignment horizontal="center"/>
    </x:xf>
    <x:xf numFmtId="0" fontId="14" fillId="4" borderId="8" xfId="0" applyNumberFormat="1" applyFont="1" applyFill="1" applyBorder="1" applyAlignment="1">
      <x:alignment horizontal="center" vertical="center"/>
    </x:xf>
    <x:xf numFmtId="0" fontId="14" fillId="4" borderId="9" xfId="0" applyNumberFormat="1" applyFont="1" applyFill="1" applyBorder="1" applyAlignment="1">
      <x:alignment horizontal="center" vertical="center"/>
    </x:xf>
    <x:xf numFmtId="0" fontId="14" fillId="4" borderId="14" xfId="0" applyNumberFormat="1" applyFont="1" applyFill="1" applyBorder="1"/>
    <x:xf numFmtId="0" fontId="14" fillId="4" borderId="15" xfId="0" applyNumberFormat="1" applyFont="1" applyFill="1" applyBorder="1"/>
    <x:xf numFmtId="0" fontId="14" fillId="4" borderId="14" xfId="0" applyNumberFormat="1" applyFont="1" applyFill="1" applyBorder="1" applyAlignment="1">
      <x:alignment horizontal="center"/>
    </x:xf>
    <x:xf numFmtId="0" fontId="14" fillId="4" borderId="15" xfId="0" applyNumberFormat="1" applyFont="1" applyFill="1" applyBorder="1" applyAlignment="1">
      <x:alignment horizontal="center"/>
    </x:xf>
    <x:xf numFmtId="0" fontId="14" fillId="4" borderId="14" xfId="0" applyNumberFormat="1" applyFont="1" applyFill="1" applyBorder="1" applyAlignment="1">
      <x:alignment horizontal="center" vertical="center"/>
    </x:xf>
    <x:xf numFmtId="0" fontId="14" fillId="4" borderId="15" xfId="0" applyNumberFormat="1" applyFont="1" applyFill="1" applyBorder="1" applyAlignment="1">
      <x:alignment horizontal="center" vertical="center"/>
    </x:xf>
    <x:xf numFmtId="202" fontId="14" fillId="4" borderId="8" xfId="0" applyNumberFormat="1" applyFont="1" applyFill="1" applyBorder="1" applyAlignment="1">
      <x:alignment horizontal="center" vertical="center"/>
    </x:xf>
    <x:xf numFmtId="202" fontId="14" fillId="4" borderId="14" xfId="0" applyNumberFormat="1" applyFont="1" applyFill="1" applyBorder="1" applyAlignment="1">
      <x:alignment horizontal="center" vertical="center"/>
    </x:xf>
    <x:xf numFmtId="0" fontId="0" fillId="13" borderId="6" xfId="0" applyNumberFormat="1" applyFont="1" applyFill="1" applyBorder="1"/>
    <x:xf numFmtId="0" fontId="0" fillId="13" borderId="7" xfId="0" applyNumberFormat="1" applyFont="1" applyFill="1" applyBorder="1"/>
    <x:xf numFmtId="0" fontId="15" fillId="13" borderId="6" xfId="0" applyNumberFormat="1" applyFont="1" applyFill="1" applyBorder="1"/>
    <x:xf numFmtId="0" fontId="15" fillId="13" borderId="7" xfId="0" applyNumberFormat="1" applyFont="1" applyFill="1" applyBorder="1"/>
    <x:xf numFmtId="0" fontId="15" fillId="13" borderId="6" xfId="0" applyNumberFormat="1" applyFont="1" applyFill="1" applyBorder="1" applyAlignment="1">
      <x:alignment horizontal="center"/>
    </x:xf>
    <x:xf numFmtId="0" fontId="15" fillId="13" borderId="7" xfId="0" applyNumberFormat="1" applyFont="1" applyFill="1" applyBorder="1" applyAlignment="1">
      <x:alignment horizontal="center"/>
    </x:xf>
    <x:xf numFmtId="0" fontId="15" fillId="13" borderId="6" xfId="0" applyNumberFormat="1" applyFont="1" applyFill="1" applyBorder="1" applyAlignment="1">
      <x:alignment horizontal="center" vertical="center"/>
    </x:xf>
    <x:xf numFmtId="0" fontId="15" fillId="13" borderId="7" xfId="0" applyNumberFormat="1" applyFont="1" applyFill="1" applyBorder="1" applyAlignment="1">
      <x:alignment horizontal="center" vertical="center"/>
    </x:xf>
    <x:xf numFmtId="0" fontId="0" fillId="13" borderId="12" xfId="0" applyNumberFormat="1" applyFont="1" applyFill="1" applyBorder="1"/>
    <x:xf numFmtId="0" fontId="0" fillId="13" borderId="13" xfId="0" applyNumberFormat="1" applyFont="1" applyFill="1" applyBorder="1"/>
    <x:xf numFmtId="0" fontId="15" fillId="13" borderId="12" xfId="0" applyNumberFormat="1" applyFont="1" applyFill="1" applyBorder="1"/>
    <x:xf numFmtId="0" fontId="15" fillId="13" borderId="13" xfId="0" applyNumberFormat="1" applyFont="1" applyFill="1" applyBorder="1"/>
    <x:xf numFmtId="0" fontId="15" fillId="13" borderId="12" xfId="0" applyNumberFormat="1" applyFont="1" applyFill="1" applyBorder="1" applyAlignment="1">
      <x:alignment horizontal="center"/>
    </x:xf>
    <x:xf numFmtId="0" fontId="15" fillId="13" borderId="13" xfId="0" applyNumberFormat="1" applyFont="1" applyFill="1" applyBorder="1" applyAlignment="1">
      <x:alignment horizontal="center"/>
    </x:xf>
    <x:xf numFmtId="0" fontId="15" fillId="13" borderId="12" xfId="0" applyNumberFormat="1" applyFont="1" applyFill="1" applyBorder="1" applyAlignment="1">
      <x:alignment horizontal="center" vertical="center"/>
    </x:xf>
    <x:xf numFmtId="0" fontId="15" fillId="13" borderId="13" xfId="0" applyNumberFormat="1" applyFont="1" applyFill="1" applyBorder="1" applyAlignment="1">
      <x:alignment horizontal="center" vertical="center"/>
    </x:xf>
    <x:xf numFmtId="0" fontId="15" fillId="4" borderId="8" xfId="0" applyNumberFormat="1" applyFont="1" applyFill="1" applyBorder="1"/>
    <x:xf numFmtId="0" fontId="15" fillId="4" borderId="9" xfId="0" applyNumberFormat="1" applyFont="1" applyFill="1" applyBorder="1"/>
    <x:xf numFmtId="0" fontId="15" fillId="4" borderId="8" xfId="0" applyNumberFormat="1" applyFont="1" applyFill="1" applyBorder="1" applyAlignment="1">
      <x:alignment horizontal="center"/>
    </x:xf>
    <x:xf numFmtId="0" fontId="15" fillId="4" borderId="9" xfId="0" applyNumberFormat="1" applyFont="1" applyFill="1" applyBorder="1" applyAlignment="1">
      <x:alignment horizontal="center"/>
    </x:xf>
    <x:xf numFmtId="0" fontId="15" fillId="4" borderId="8" xfId="0" applyNumberFormat="1" applyFont="1" applyFill="1" applyBorder="1" applyAlignment="1">
      <x:alignment horizontal="center" vertical="center"/>
    </x:xf>
    <x:xf numFmtId="0" fontId="15" fillId="4" borderId="9" xfId="0" applyNumberFormat="1" applyFont="1" applyFill="1" applyBorder="1" applyAlignment="1">
      <x:alignment horizontal="center" vertical="center"/>
    </x:xf>
    <x:xf numFmtId="0" fontId="15" fillId="4" borderId="14" xfId="0" applyNumberFormat="1" applyFont="1" applyFill="1" applyBorder="1"/>
    <x:xf numFmtId="0" fontId="15" fillId="4" borderId="15" xfId="0" applyNumberFormat="1" applyFont="1" applyFill="1" applyBorder="1"/>
    <x:xf numFmtId="0" fontId="15" fillId="4" borderId="14" xfId="0" applyNumberFormat="1" applyFont="1" applyFill="1" applyBorder="1" applyAlignment="1">
      <x:alignment horizontal="center"/>
    </x:xf>
    <x:xf numFmtId="0" fontId="15" fillId="4" borderId="15" xfId="0" applyNumberFormat="1" applyFont="1" applyFill="1" applyBorder="1" applyAlignment="1">
      <x:alignment horizontal="center"/>
    </x:xf>
    <x:xf numFmtId="0" fontId="15" fillId="4" borderId="14" xfId="0" applyNumberFormat="1" applyFont="1" applyFill="1" applyBorder="1" applyAlignment="1">
      <x:alignment horizontal="center" vertical="center"/>
    </x:xf>
    <x:xf numFmtId="0" fontId="15" fillId="4" borderId="15" xfId="0" applyNumberFormat="1" applyFont="1" applyFill="1" applyBorder="1" applyAlignment="1">
      <x:alignment horizontal="center" vertical="center"/>
    </x:xf>
    <x:xf numFmtId="203" fontId="15" fillId="4" borderId="8" xfId="0" applyNumberFormat="1" applyFont="1" applyFill="1" applyBorder="1" applyAlignment="1">
      <x:alignment horizontal="center" vertical="center"/>
    </x:xf>
    <x:xf numFmtId="203" fontId="15" fillId="4" borderId="14" xfId="0" applyNumberFormat="1" applyFont="1" applyFill="1" applyBorder="1" applyAlignment="1">
      <x:alignment horizontal="center" vertical="center"/>
    </x:xf>
    <x:xf numFmtId="0" fontId="0" fillId="4" borderId="18" xfId="0" applyNumberFormat="1" applyFont="1" applyFill="1" applyBorder="1"/>
    <x:xf numFmtId="0" fontId="0" fillId="4" borderId="19" xfId="0" applyNumberFormat="1" applyFont="1" applyFill="1" applyBorder="1"/>
    <x:xf numFmtId="0" fontId="0" fillId="4" borderId="20" xfId="0" applyNumberFormat="1" applyFont="1" applyFill="1" applyBorder="1"/>
    <x:xf numFmtId="0" fontId="0" fillId="4" borderId="21" xfId="0" applyNumberFormat="1" applyFont="1" applyFill="1" applyBorder="1"/>
    <x:xf numFmtId="0" fontId="0" fillId="2" borderId="6" xfId="0" applyNumberFormat="1" applyFont="1" applyFill="1" applyBorder="1"/>
    <x:xf numFmtId="0" fontId="0" fillId="2" borderId="18" xfId="0" applyNumberFormat="1" applyFont="1" applyFill="1" applyBorder="1"/>
    <x:xf numFmtId="0" fontId="0" fillId="2" borderId="7" xfId="0" applyNumberFormat="1" applyFont="1" applyFill="1" applyBorder="1"/>
    <x:xf numFmtId="0" fontId="1" fillId="2" borderId="6" xfId="0" applyNumberFormat="1" applyFont="1" applyFill="1" applyBorder="1"/>
    <x:xf numFmtId="0" fontId="1" fillId="2" borderId="18" xfId="0" applyNumberFormat="1" applyFont="1" applyFill="1" applyBorder="1"/>
    <x:xf numFmtId="0" fontId="1" fillId="2" borderId="7" xfId="0" applyNumberFormat="1" applyFont="1" applyFill="1" applyBorder="1"/>
    <x:xf numFmtId="0" fontId="1" fillId="2" borderId="6" xfId="0" applyNumberFormat="1" applyFont="1" applyFill="1" applyBorder="1" applyAlignment="1">
      <x:alignment horizontal="left"/>
    </x:xf>
    <x:xf numFmtId="0" fontId="1" fillId="2" borderId="18" xfId="0" applyNumberFormat="1" applyFont="1" applyFill="1" applyBorder="1" applyAlignment="1">
      <x:alignment horizontal="left"/>
    </x:xf>
    <x:xf numFmtId="0" fontId="1" fillId="2" borderId="7" xfId="0" applyNumberFormat="1" applyFont="1" applyFill="1" applyBorder="1" applyAlignment="1">
      <x:alignment horizontal="left"/>
    </x:xf>
    <x:xf numFmtId="0" fontId="1" fillId="2" borderId="6" xfId="0" applyNumberFormat="1" applyFont="1" applyFill="1" applyBorder="1" applyAlignment="1">
      <x:alignment horizontal="left" vertical="center"/>
    </x:xf>
    <x:xf numFmtId="0" fontId="1" fillId="2" borderId="18" xfId="0" applyNumberFormat="1" applyFont="1" applyFill="1" applyBorder="1" applyAlignment="1">
      <x:alignment horizontal="left" vertical="center"/>
    </x:xf>
    <x:xf numFmtId="0" fontId="1" fillId="2" borderId="7" xfId="0" applyNumberFormat="1" applyFont="1" applyFill="1" applyBorder="1" applyAlignment="1">
      <x:alignment horizontal="left" vertical="center"/>
    </x:xf>
    <x:xf numFmtId="0" fontId="0" fillId="2" borderId="12" xfId="0" applyNumberFormat="1" applyFont="1" applyFill="1" applyBorder="1"/>
    <x:xf numFmtId="0" fontId="0" fillId="2" borderId="20" xfId="0" applyNumberFormat="1" applyFont="1" applyFill="1" applyBorder="1"/>
    <x:xf numFmtId="0" fontId="0" fillId="2" borderId="13" xfId="0" applyNumberFormat="1" applyFont="1" applyFill="1" applyBorder="1"/>
    <x:xf numFmtId="0" fontId="1" fillId="2" borderId="12" xfId="0" applyNumberFormat="1" applyFont="1" applyFill="1" applyBorder="1"/>
    <x:xf numFmtId="0" fontId="1" fillId="2" borderId="20" xfId="0" applyNumberFormat="1" applyFont="1" applyFill="1" applyBorder="1"/>
    <x:xf numFmtId="0" fontId="1" fillId="2" borderId="13" xfId="0" applyNumberFormat="1" applyFont="1" applyFill="1" applyBorder="1"/>
    <x:xf numFmtId="0" fontId="1" fillId="2" borderId="12" xfId="0" applyNumberFormat="1" applyFont="1" applyFill="1" applyBorder="1" applyAlignment="1">
      <x:alignment horizontal="left"/>
    </x:xf>
    <x:xf numFmtId="0" fontId="1" fillId="2" borderId="20" xfId="0" applyNumberFormat="1" applyFont="1" applyFill="1" applyBorder="1" applyAlignment="1">
      <x:alignment horizontal="left"/>
    </x:xf>
    <x:xf numFmtId="0" fontId="1" fillId="2" borderId="13" xfId="0" applyNumberFormat="1" applyFont="1" applyFill="1" applyBorder="1" applyAlignment="1">
      <x:alignment horizontal="left"/>
    </x:xf>
    <x:xf numFmtId="0" fontId="1" fillId="2" borderId="12" xfId="0" applyNumberFormat="1" applyFont="1" applyFill="1" applyBorder="1" applyAlignment="1">
      <x:alignment horizontal="left" vertical="center"/>
    </x:xf>
    <x:xf numFmtId="0" fontId="1" fillId="2" borderId="20" xfId="0" applyNumberFormat="1" applyFont="1" applyFill="1" applyBorder="1" applyAlignment="1">
      <x:alignment horizontal="left" vertical="center"/>
    </x:xf>
    <x:xf numFmtId="0" fontId="1" fillId="2" borderId="13" xfId="0" applyNumberFormat="1" applyFont="1" applyFill="1" applyBorder="1" applyAlignment="1">
      <x:alignment horizontal="left" vertical="center"/>
    </x:xf>
    <x:xf numFmtId="0" fontId="0" fillId="2" borderId="8" xfId="0" applyNumberFormat="1" applyFont="1" applyFill="1" applyBorder="1"/>
    <x:xf numFmtId="0" fontId="0" fillId="2" borderId="9" xfId="0" applyNumberFormat="1" applyFont="1" applyFill="1" applyBorder="1"/>
    <x:xf numFmtId="0" fontId="16" fillId="2" borderId="8" xfId="0" applyNumberFormat="1" applyFont="1" applyFill="1" applyBorder="1"/>
    <x:xf numFmtId="0" fontId="16" fillId="2" borderId="0" xfId="0" applyNumberFormat="1" applyFont="1" applyFill="1" applyBorder="1"/>
    <x:xf numFmtId="0" fontId="16" fillId="2" borderId="9" xfId="0" applyNumberFormat="1" applyFont="1" applyFill="1" applyBorder="1"/>
    <x:xf numFmtId="0" fontId="16" fillId="2" borderId="8" xfId="0" applyNumberFormat="1" applyFont="1" applyFill="1" applyBorder="1" applyAlignment="1">
      <x:alignment horizontal="left"/>
    </x:xf>
    <x:xf numFmtId="0" fontId="16" fillId="2" borderId="0" xfId="0" applyNumberFormat="1" applyFont="1" applyFill="1" applyBorder="1" applyAlignment="1">
      <x:alignment horizontal="left"/>
    </x:xf>
    <x:xf numFmtId="0" fontId="16" fillId="2" borderId="9" xfId="0" applyNumberFormat="1" applyFont="1" applyFill="1" applyBorder="1" applyAlignment="1">
      <x:alignment horizontal="left"/>
    </x:xf>
    <x:xf numFmtId="0" fontId="16" fillId="2" borderId="8" xfId="0" applyNumberFormat="1" applyFont="1" applyFill="1" applyBorder="1" applyAlignment="1">
      <x:alignment horizontal="left" vertical="center"/>
    </x:xf>
    <x:xf numFmtId="0" fontId="16" fillId="2" borderId="0" xfId="0" applyNumberFormat="1" applyFont="1" applyFill="1" applyBorder="1" applyAlignment="1">
      <x:alignment horizontal="left" vertical="center"/>
    </x:xf>
    <x:xf numFmtId="0" fontId="16" fillId="2" borderId="9" xfId="0" applyNumberFormat="1" applyFont="1" applyFill="1" applyBorder="1" applyAlignment="1">
      <x:alignment horizontal="left" vertical="center"/>
    </x:xf>
    <x:xf numFmtId="0" fontId="0" fillId="2" borderId="14" xfId="0" applyNumberFormat="1" applyFont="1" applyFill="1" applyBorder="1"/>
    <x:xf numFmtId="0" fontId="0" fillId="2" borderId="15" xfId="0" applyNumberFormat="1" applyFont="1" applyFill="1" applyBorder="1"/>
    <x:xf numFmtId="0" fontId="16" fillId="2" borderId="14" xfId="0" applyNumberFormat="1" applyFont="1" applyFill="1" applyBorder="1"/>
    <x:xf numFmtId="0" fontId="16" fillId="2" borderId="1" xfId="0" applyNumberFormat="1" applyFont="1" applyFill="1" applyBorder="1"/>
    <x:xf numFmtId="0" fontId="16" fillId="2" borderId="15" xfId="0" applyNumberFormat="1" applyFont="1" applyFill="1" applyBorder="1"/>
    <x:xf numFmtId="0" fontId="16" fillId="2" borderId="14" xfId="0" applyNumberFormat="1" applyFont="1" applyFill="1" applyBorder="1" applyAlignment="1">
      <x:alignment horizontal="left"/>
    </x:xf>
    <x:xf numFmtId="0" fontId="16" fillId="2" borderId="1" xfId="0" applyNumberFormat="1" applyFont="1" applyFill="1" applyBorder="1" applyAlignment="1">
      <x:alignment horizontal="left"/>
    </x:xf>
    <x:xf numFmtId="0" fontId="16" fillId="2" borderId="15" xfId="0" applyNumberFormat="1" applyFont="1" applyFill="1" applyBorder="1" applyAlignment="1">
      <x:alignment horizontal="left"/>
    </x:xf>
    <x:xf numFmtId="0" fontId="16" fillId="2" borderId="14" xfId="0" applyNumberFormat="1" applyFont="1" applyFill="1" applyBorder="1" applyAlignment="1">
      <x:alignment horizontal="left" vertical="center"/>
    </x:xf>
    <x:xf numFmtId="0" fontId="16" fillId="2" borderId="1" xfId="0" applyNumberFormat="1" applyFont="1" applyFill="1" applyBorder="1" applyAlignment="1">
      <x:alignment horizontal="left" vertical="center"/>
    </x:xf>
    <x:xf numFmtId="0" fontId="16" fillId="2" borderId="15" xfId="0" applyNumberFormat="1" applyFont="1" applyFill="1" applyBorder="1" applyAlignment="1">
      <x:alignment horizontal="left" vertical="center"/>
    </x:xf>
    <x:xf numFmtId="0" fontId="0" fillId="14" borderId="8" xfId="0" applyNumberFormat="1" applyFont="1" applyFill="1" applyBorder="1"/>
    <x:xf numFmtId="0" fontId="0" fillId="14" borderId="0" xfId="0" applyNumberFormat="1" applyFont="1" applyFill="1" applyBorder="1"/>
    <x:xf numFmtId="0" fontId="0" fillId="14" borderId="9" xfId="0" applyNumberFormat="1" applyFont="1" applyFill="1" applyBorder="1"/>
    <x:xf numFmtId="0" fontId="2" fillId="14" borderId="8" xfId="0" applyNumberFormat="1" applyFont="1" applyFill="1" applyBorder="1"/>
    <x:xf numFmtId="0" fontId="2" fillId="14" borderId="0" xfId="0" applyNumberFormat="1" applyFont="1" applyFill="1" applyBorder="1"/>
    <x:xf numFmtId="0" fontId="2" fillId="14" borderId="9" xfId="0" applyNumberFormat="1" applyFont="1" applyFill="1" applyBorder="1"/>
    <x:xf numFmtId="0" fontId="2" fillId="14" borderId="8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wrapText="1"/>
    </x:xf>
    <x:xf numFmtId="0" fontId="2" fillId="14" borderId="9" xfId="0" applyNumberFormat="1" applyFont="1" applyFill="1" applyBorder="1" applyAlignment="1">
      <x:alignment wrapText="1"/>
    </x:xf>
    <x:xf numFmtId="0" fontId="2" fillId="14" borderId="8" xfId="0" applyNumberFormat="1" applyFont="1" applyFill="1" applyBorder="1" applyAlignment="1">
      <x:alignment horizontal="left" wrapText="1"/>
    </x:xf>
    <x:xf numFmtId="0" fontId="2" fillId="14" borderId="0" xfId="0" applyNumberFormat="1" applyFont="1" applyFill="1" applyBorder="1" applyAlignment="1">
      <x:alignment horizontal="left" wrapText="1"/>
    </x:xf>
    <x:xf numFmtId="0" fontId="2" fillId="14" borderId="9" xfId="0" applyNumberFormat="1" applyFont="1" applyFill="1" applyBorder="1" applyAlignment="1">
      <x:alignment horizontal="left" wrapText="1"/>
    </x:xf>
    <x:xf numFmtId="0" fontId="2" fillId="14" borderId="8" xfId="0" applyNumberFormat="1" applyFont="1" applyFill="1" applyBorder="1" applyAlignment="1">
      <x:alignment horizontal="left" vertical="center" wrapText="1"/>
    </x:xf>
    <x:xf numFmtId="0" fontId="2" fillId="14" borderId="0" xfId="0" applyNumberFormat="1" applyFont="1" applyFill="1" applyBorder="1" applyAlignment="1">
      <x:alignment horizontal="left" vertical="center" wrapText="1"/>
    </x:xf>
    <x:xf numFmtId="0" fontId="2" fillId="14" borderId="9" xfId="0" applyNumberFormat="1" applyFont="1" applyFill="1" applyBorder="1" applyAlignment="1">
      <x:alignment horizontal="left" vertical="center" wrapText="1"/>
    </x:xf>
    <x:xf numFmtId="0" fontId="0" fillId="14" borderId="14" xfId="0" applyNumberFormat="1" applyFont="1" applyFill="1" applyBorder="1"/>
    <x:xf numFmtId="0" fontId="0" fillId="14" borderId="1" xfId="0" applyNumberFormat="1" applyFont="1" applyFill="1" applyBorder="1"/>
    <x:xf numFmtId="0" fontId="0" fillId="14" borderId="15" xfId="0" applyNumberFormat="1" applyFont="1" applyFill="1" applyBorder="1"/>
    <x:xf numFmtId="0" fontId="2" fillId="14" borderId="14" xfId="0" applyNumberFormat="1" applyFont="1" applyFill="1" applyBorder="1"/>
    <x:xf numFmtId="0" fontId="2" fillId="14" borderId="1" xfId="0" applyNumberFormat="1" applyFont="1" applyFill="1" applyBorder="1"/>
    <x:xf numFmtId="0" fontId="2" fillId="14" borderId="15" xfId="0" applyNumberFormat="1" applyFont="1" applyFill="1" applyBorder="1"/>
    <x:xf numFmtId="0" fontId="2" fillId="14" borderId="14" xfId="0" applyNumberFormat="1" applyFont="1" applyFill="1" applyBorder="1" applyAlignment="1">
      <x:alignment wrapText="1"/>
    </x:xf>
    <x:xf numFmtId="0" fontId="2" fillId="14" borderId="1" xfId="0" applyNumberFormat="1" applyFont="1" applyFill="1" applyBorder="1" applyAlignment="1">
      <x:alignment wrapText="1"/>
    </x:xf>
    <x:xf numFmtId="0" fontId="2" fillId="14" borderId="15" xfId="0" applyNumberFormat="1" applyFont="1" applyFill="1" applyBorder="1" applyAlignment="1">
      <x:alignment wrapText="1"/>
    </x:xf>
    <x:xf numFmtId="0" fontId="2" fillId="14" borderId="14" xfId="0" applyNumberFormat="1" applyFont="1" applyFill="1" applyBorder="1" applyAlignment="1">
      <x:alignment horizontal="left" wrapText="1"/>
    </x:xf>
    <x:xf numFmtId="0" fontId="2" fillId="14" borderId="1" xfId="0" applyNumberFormat="1" applyFont="1" applyFill="1" applyBorder="1" applyAlignment="1">
      <x:alignment horizontal="left" wrapText="1"/>
    </x:xf>
    <x:xf numFmtId="0" fontId="2" fillId="14" borderId="15" xfId="0" applyNumberFormat="1" applyFont="1" applyFill="1" applyBorder="1" applyAlignment="1">
      <x:alignment horizontal="left" wrapText="1"/>
    </x:xf>
    <x:xf numFmtId="0" fontId="2" fillId="14" borderId="14" xfId="0" applyNumberFormat="1" applyFont="1" applyFill="1" applyBorder="1" applyAlignment="1">
      <x:alignment horizontal="left" vertical="center" wrapText="1"/>
    </x:xf>
    <x:xf numFmtId="0" fontId="2" fillId="14" borderId="1" xfId="0" applyNumberFormat="1" applyFont="1" applyFill="1" applyBorder="1" applyAlignment="1">
      <x:alignment horizontal="left" vertical="center" wrapText="1"/>
    </x:xf>
    <x:xf numFmtId="0" fontId="2" fillId="14" borderId="15" xfId="0" applyNumberFormat="1" applyFont="1" applyFill="1" applyBorder="1" applyAlignment="1">
      <x:alignment horizontal="left" vertical="center" wrapText="1"/>
    </x:xf>
    <x:xf numFmtId="0" fontId="0" fillId="15" borderId="8" xfId="0" applyNumberFormat="1" applyFont="1" applyFill="1" applyBorder="1"/>
    <x:xf numFmtId="0" fontId="0" fillId="15" borderId="0" xfId="0" applyNumberFormat="1" applyFont="1" applyFill="1" applyBorder="1"/>
    <x:xf numFmtId="0" fontId="0" fillId="15" borderId="9" xfId="0" applyNumberFormat="1" applyFont="1" applyFill="1" applyBorder="1"/>
    <x:xf numFmtId="0" fontId="2" fillId="15" borderId="8" xfId="0" applyNumberFormat="1" applyFont="1" applyFill="1" applyBorder="1"/>
    <x:xf numFmtId="0" fontId="2" fillId="15" borderId="0" xfId="0" applyNumberFormat="1" applyFont="1" applyFill="1" applyBorder="1"/>
    <x:xf numFmtId="0" fontId="2" fillId="15" borderId="9" xfId="0" applyNumberFormat="1" applyFont="1" applyFill="1" applyBorder="1"/>
    <x:xf numFmtId="0" fontId="2" fillId="15" borderId="8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wrapText="1"/>
    </x:xf>
    <x:xf numFmtId="0" fontId="2" fillId="15" borderId="9" xfId="0" applyNumberFormat="1" applyFont="1" applyFill="1" applyBorder="1" applyAlignment="1">
      <x:alignment wrapText="1"/>
    </x:xf>
    <x:xf numFmtId="0" fontId="2" fillId="15" borderId="8" xfId="0" applyNumberFormat="1" applyFont="1" applyFill="1" applyBorder="1" applyAlignment="1">
      <x:alignment horizontal="left" wrapText="1"/>
    </x:xf>
    <x:xf numFmtId="0" fontId="2" fillId="15" borderId="0" xfId="0" applyNumberFormat="1" applyFont="1" applyFill="1" applyBorder="1" applyAlignment="1">
      <x:alignment horizontal="left" wrapText="1"/>
    </x:xf>
    <x:xf numFmtId="0" fontId="2" fillId="15" borderId="9" xfId="0" applyNumberFormat="1" applyFont="1" applyFill="1" applyBorder="1" applyAlignment="1">
      <x:alignment horizontal="left" wrapText="1"/>
    </x:xf>
    <x:xf numFmtId="0" fontId="2" fillId="15" borderId="8" xfId="0" applyNumberFormat="1" applyFont="1" applyFill="1" applyBorder="1" applyAlignment="1">
      <x:alignment horizontal="left" vertical="center" wrapText="1"/>
    </x:xf>
    <x:xf numFmtId="0" fontId="2" fillId="15" borderId="0" xfId="0" applyNumberFormat="1" applyFont="1" applyFill="1" applyBorder="1" applyAlignment="1">
      <x:alignment horizontal="left" vertical="center" wrapText="1"/>
    </x:xf>
    <x:xf numFmtId="0" fontId="2" fillId="15" borderId="9" xfId="0" applyNumberFormat="1" applyFont="1" applyFill="1" applyBorder="1" applyAlignment="1">
      <x:alignment horizontal="left" vertical="center" wrapText="1"/>
    </x:xf>
    <x:xf numFmtId="0" fontId="0" fillId="15" borderId="14" xfId="0" applyNumberFormat="1" applyFont="1" applyFill="1" applyBorder="1"/>
    <x:xf numFmtId="0" fontId="0" fillId="15" borderId="1" xfId="0" applyNumberFormat="1" applyFont="1" applyFill="1" applyBorder="1"/>
    <x:xf numFmtId="0" fontId="0" fillId="15" borderId="15" xfId="0" applyNumberFormat="1" applyFont="1" applyFill="1" applyBorder="1"/>
    <x:xf numFmtId="0" fontId="2" fillId="15" borderId="14" xfId="0" applyNumberFormat="1" applyFont="1" applyFill="1" applyBorder="1"/>
    <x:xf numFmtId="0" fontId="2" fillId="15" borderId="1" xfId="0" applyNumberFormat="1" applyFont="1" applyFill="1" applyBorder="1"/>
    <x:xf numFmtId="0" fontId="2" fillId="15" borderId="15" xfId="0" applyNumberFormat="1" applyFont="1" applyFill="1" applyBorder="1"/>
    <x:xf numFmtId="0" fontId="2" fillId="15" borderId="14" xfId="0" applyNumberFormat="1" applyFont="1" applyFill="1" applyBorder="1" applyAlignment="1">
      <x:alignment wrapText="1"/>
    </x:xf>
    <x:xf numFmtId="0" fontId="2" fillId="15" borderId="1" xfId="0" applyNumberFormat="1" applyFont="1" applyFill="1" applyBorder="1" applyAlignment="1">
      <x:alignment wrapText="1"/>
    </x:xf>
    <x:xf numFmtId="0" fontId="2" fillId="15" borderId="15" xfId="0" applyNumberFormat="1" applyFont="1" applyFill="1" applyBorder="1" applyAlignment="1">
      <x:alignment wrapText="1"/>
    </x:xf>
    <x:xf numFmtId="0" fontId="2" fillId="15" borderId="14" xfId="0" applyNumberFormat="1" applyFont="1" applyFill="1" applyBorder="1" applyAlignment="1">
      <x:alignment horizontal="left" wrapText="1"/>
    </x:xf>
    <x:xf numFmtId="0" fontId="2" fillId="15" borderId="1" xfId="0" applyNumberFormat="1" applyFont="1" applyFill="1" applyBorder="1" applyAlignment="1">
      <x:alignment horizontal="left" wrapText="1"/>
    </x:xf>
    <x:xf numFmtId="0" fontId="2" fillId="15" borderId="15" xfId="0" applyNumberFormat="1" applyFont="1" applyFill="1" applyBorder="1" applyAlignment="1">
      <x:alignment horizontal="left" wrapText="1"/>
    </x:xf>
    <x:xf numFmtId="0" fontId="2" fillId="15" borderId="14" xfId="0" applyNumberFormat="1" applyFont="1" applyFill="1" applyBorder="1" applyAlignment="1">
      <x:alignment horizontal="left" vertical="center" wrapText="1"/>
    </x:xf>
    <x:xf numFmtId="0" fontId="2" fillId="15" borderId="1" xfId="0" applyNumberFormat="1" applyFont="1" applyFill="1" applyBorder="1" applyAlignment="1">
      <x:alignment horizontal="left" vertical="center" wrapText="1"/>
    </x:xf>
    <x:xf numFmtId="0" fontId="2" fillId="15" borderId="15" xfId="0" applyNumberFormat="1" applyFont="1" applyFill="1" applyBorder="1" applyAlignment="1">
      <x:alignment horizontal="left" vertical="center" wrapText="1"/>
    </x:xf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2" fillId="3" borderId="8" xfId="0" applyNumberFormat="1" applyFont="1" applyFill="1" applyBorder="1"/>
    <x:xf numFmtId="0" fontId="2" fillId="3" borderId="0" xfId="0" applyNumberFormat="1" applyFont="1" applyFill="1" applyBorder="1"/>
    <x:xf numFmtId="0" fontId="2" fillId="3" borderId="9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9" xfId="0" applyNumberFormat="1" applyFont="1" applyFill="1" applyBorder="1" applyAlignment="1">
      <x:alignment horizontal="left" wrapText="1"/>
    </x:xf>
    <x:xf numFmtId="0" fontId="2" fillId="3" borderId="8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9" xfId="0" applyNumberFormat="1" applyFont="1" applyFill="1" applyBorder="1" applyAlignment="1">
      <x:alignment horizontal="left" vertical="center" wrapText="1"/>
    </x:xf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2" fillId="3" borderId="14" xfId="0" applyNumberFormat="1" applyFont="1" applyFill="1" applyBorder="1"/>
    <x:xf numFmtId="0" fontId="2" fillId="3" borderId="1" xfId="0" applyNumberFormat="1" applyFont="1" applyFill="1" applyBorder="1"/>
    <x:xf numFmtId="0" fontId="2" fillId="3" borderId="15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5" xfId="0" applyNumberFormat="1" applyFont="1" applyFill="1" applyBorder="1" applyAlignment="1">
      <x:alignment horizontal="left" wrapText="1"/>
    </x:xf>
    <x:xf numFmtId="0" fontId="2" fillId="3" borderId="14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15" xfId="0" applyNumberFormat="1" applyFont="1" applyFill="1" applyBorder="1" applyAlignment="1">
      <x:alignment horizontal="left" vertical="center" wrapText="1"/>
    </x:xf>
    <x:xf numFmtId="0" fontId="0" fillId="16" borderId="8" xfId="0" applyNumberFormat="1" applyFont="1" applyFill="1" applyBorder="1"/>
    <x:xf numFmtId="0" fontId="0" fillId="16" borderId="0" xfId="0" applyNumberFormat="1" applyFont="1" applyFill="1" applyBorder="1"/>
    <x:xf numFmtId="0" fontId="0" fillId="16" borderId="9" xfId="0" applyNumberFormat="1" applyFont="1" applyFill="1" applyBorder="1"/>
    <x:xf numFmtId="0" fontId="0" fillId="16" borderId="10" xfId="0" applyNumberFormat="1" applyFont="1" applyFill="1" applyBorder="1"/>
    <x:xf numFmtId="0" fontId="0" fillId="16" borderId="19" xfId="0" applyNumberFormat="1" applyFont="1" applyFill="1" applyBorder="1"/>
    <x:xf numFmtId="0" fontId="0" fillId="16" borderId="11" xfId="0" applyNumberFormat="1" applyFont="1" applyFill="1" applyBorder="1"/>
    <x:xf numFmtId="0" fontId="2" fillId="16" borderId="8" xfId="0" applyNumberFormat="1" applyFont="1" applyFill="1" applyBorder="1"/>
    <x:xf numFmtId="0" fontId="2" fillId="16" borderId="0" xfId="0" applyNumberFormat="1" applyFont="1" applyFill="1" applyBorder="1"/>
    <x:xf numFmtId="0" fontId="2" fillId="16" borderId="9" xfId="0" applyNumberFormat="1" applyFont="1" applyFill="1" applyBorder="1"/>
    <x:xf numFmtId="0" fontId="2" fillId="16" borderId="10" xfId="0" applyNumberFormat="1" applyFont="1" applyFill="1" applyBorder="1"/>
    <x:xf numFmtId="0" fontId="2" fillId="16" borderId="19" xfId="0" applyNumberFormat="1" applyFont="1" applyFill="1" applyBorder="1"/>
    <x:xf numFmtId="0" fontId="2" fillId="16" borderId="11" xfId="0" applyNumberFormat="1" applyFont="1" applyFill="1" applyBorder="1"/>
    <x:xf numFmtId="0" fontId="2" fillId="16" borderId="8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wrapText="1"/>
    </x:xf>
    <x:xf numFmtId="0" fontId="2" fillId="16" borderId="9" xfId="0" applyNumberFormat="1" applyFont="1" applyFill="1" applyBorder="1" applyAlignment="1">
      <x:alignment wrapText="1"/>
    </x:xf>
    <x:xf numFmtId="0" fontId="2" fillId="16" borderId="10" xfId="0" applyNumberFormat="1" applyFont="1" applyFill="1" applyBorder="1" applyAlignment="1">
      <x:alignment wrapText="1"/>
    </x:xf>
    <x:xf numFmtId="0" fontId="2" fillId="16" borderId="19" xfId="0" applyNumberFormat="1" applyFont="1" applyFill="1" applyBorder="1" applyAlignment="1">
      <x:alignment wrapText="1"/>
    </x:xf>
    <x:xf numFmtId="0" fontId="2" fillId="16" borderId="11" xfId="0" applyNumberFormat="1" applyFont="1" applyFill="1" applyBorder="1" applyAlignment="1">
      <x:alignment wrapText="1"/>
    </x:xf>
    <x:xf numFmtId="0" fontId="2" fillId="16" borderId="8" xfId="0" applyNumberFormat="1" applyFont="1" applyFill="1" applyBorder="1" applyAlignment="1">
      <x:alignment horizontal="left" wrapText="1"/>
    </x:xf>
    <x:xf numFmtId="0" fontId="2" fillId="16" borderId="0" xfId="0" applyNumberFormat="1" applyFont="1" applyFill="1" applyBorder="1" applyAlignment="1">
      <x:alignment horizontal="left" wrapText="1"/>
    </x:xf>
    <x:xf numFmtId="0" fontId="2" fillId="16" borderId="9" xfId="0" applyNumberFormat="1" applyFont="1" applyFill="1" applyBorder="1" applyAlignment="1">
      <x:alignment horizontal="left" wrapText="1"/>
    </x:xf>
    <x:xf numFmtId="0" fontId="2" fillId="16" borderId="10" xfId="0" applyNumberFormat="1" applyFont="1" applyFill="1" applyBorder="1" applyAlignment="1">
      <x:alignment horizontal="left" wrapText="1"/>
    </x:xf>
    <x:xf numFmtId="0" fontId="2" fillId="16" borderId="19" xfId="0" applyNumberFormat="1" applyFont="1" applyFill="1" applyBorder="1" applyAlignment="1">
      <x:alignment horizontal="left" wrapText="1"/>
    </x:xf>
    <x:xf numFmtId="0" fontId="2" fillId="16" borderId="11" xfId="0" applyNumberFormat="1" applyFont="1" applyFill="1" applyBorder="1" applyAlignment="1">
      <x:alignment horizontal="left" wrapText="1"/>
    </x:xf>
    <x:xf numFmtId="0" fontId="2" fillId="16" borderId="8" xfId="0" applyNumberFormat="1" applyFont="1" applyFill="1" applyBorder="1" applyAlignment="1">
      <x:alignment horizontal="left" vertical="center" wrapText="1"/>
    </x:xf>
    <x:xf numFmtId="0" fontId="2" fillId="16" borderId="0" xfId="0" applyNumberFormat="1" applyFont="1" applyFill="1" applyBorder="1" applyAlignment="1">
      <x:alignment horizontal="left" vertical="center" wrapText="1"/>
    </x:xf>
    <x:xf numFmtId="0" fontId="2" fillId="16" borderId="9" xfId="0" applyNumberFormat="1" applyFont="1" applyFill="1" applyBorder="1" applyAlignment="1">
      <x:alignment horizontal="left" vertical="center" wrapText="1"/>
    </x:xf>
    <x:xf numFmtId="0" fontId="2" fillId="16" borderId="10" xfId="0" applyNumberFormat="1" applyFont="1" applyFill="1" applyBorder="1" applyAlignment="1">
      <x:alignment horizontal="left" vertical="center" wrapText="1"/>
    </x:xf>
    <x:xf numFmtId="0" fontId="2" fillId="16" borderId="19" xfId="0" applyNumberFormat="1" applyFont="1" applyFill="1" applyBorder="1" applyAlignment="1">
      <x:alignment horizontal="left" vertical="center" wrapText="1"/>
    </x:xf>
    <x:xf numFmtId="0" fontId="2" fillId="16" borderId="11" xfId="0" applyNumberFormat="1" applyFont="1" applyFill="1" applyBorder="1" applyAlignment="1">
      <x:alignment horizontal="left" vertical="center" wrapText="1"/>
    </x:xf>
    <x:xf numFmtId="0" fontId="0" fillId="16" borderId="14" xfId="0" applyNumberFormat="1" applyFont="1" applyFill="1" applyBorder="1"/>
    <x:xf numFmtId="0" fontId="0" fillId="16" borderId="1" xfId="0" applyNumberFormat="1" applyFont="1" applyFill="1" applyBorder="1"/>
    <x:xf numFmtId="0" fontId="0" fillId="16" borderId="15" xfId="0" applyNumberFormat="1" applyFont="1" applyFill="1" applyBorder="1"/>
    <x:xf numFmtId="0" fontId="0" fillId="16" borderId="16" xfId="0" applyNumberFormat="1" applyFont="1" applyFill="1" applyBorder="1"/>
    <x:xf numFmtId="0" fontId="0" fillId="16" borderId="21" xfId="0" applyNumberFormat="1" applyFont="1" applyFill="1" applyBorder="1"/>
    <x:xf numFmtId="0" fontId="0" fillId="16" borderId="17" xfId="0" applyNumberFormat="1" applyFont="1" applyFill="1" applyBorder="1"/>
    <x:xf numFmtId="0" fontId="2" fillId="16" borderId="14" xfId="0" applyNumberFormat="1" applyFont="1" applyFill="1" applyBorder="1"/>
    <x:xf numFmtId="0" fontId="2" fillId="16" borderId="1" xfId="0" applyNumberFormat="1" applyFont="1" applyFill="1" applyBorder="1"/>
    <x:xf numFmtId="0" fontId="2" fillId="16" borderId="15" xfId="0" applyNumberFormat="1" applyFont="1" applyFill="1" applyBorder="1"/>
    <x:xf numFmtId="0" fontId="2" fillId="16" borderId="16" xfId="0" applyNumberFormat="1" applyFont="1" applyFill="1" applyBorder="1"/>
    <x:xf numFmtId="0" fontId="2" fillId="16" borderId="21" xfId="0" applyNumberFormat="1" applyFont="1" applyFill="1" applyBorder="1"/>
    <x:xf numFmtId="0" fontId="2" fillId="16" borderId="17" xfId="0" applyNumberFormat="1" applyFont="1" applyFill="1" applyBorder="1"/>
    <x:xf numFmtId="0" fontId="2" fillId="16" borderId="14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wrapText="1"/>
    </x:xf>
    <x:xf numFmtId="0" fontId="2" fillId="16" borderId="15" xfId="0" applyNumberFormat="1" applyFont="1" applyFill="1" applyBorder="1" applyAlignment="1">
      <x:alignment wrapText="1"/>
    </x:xf>
    <x:xf numFmtId="0" fontId="2" fillId="16" borderId="16" xfId="0" applyNumberFormat="1" applyFont="1" applyFill="1" applyBorder="1" applyAlignment="1">
      <x:alignment wrapText="1"/>
    </x:xf>
    <x:xf numFmtId="0" fontId="2" fillId="16" borderId="21" xfId="0" applyNumberFormat="1" applyFont="1" applyFill="1" applyBorder="1" applyAlignment="1">
      <x:alignment wrapText="1"/>
    </x:xf>
    <x:xf numFmtId="0" fontId="2" fillId="16" borderId="17" xfId="0" applyNumberFormat="1" applyFont="1" applyFill="1" applyBorder="1" applyAlignment="1">
      <x:alignment wrapText="1"/>
    </x:xf>
    <x:xf numFmtId="0" fontId="2" fillId="16" borderId="14" xfId="0" applyNumberFormat="1" applyFont="1" applyFill="1" applyBorder="1" applyAlignment="1">
      <x:alignment horizontal="left" wrapText="1"/>
    </x:xf>
    <x:xf numFmtId="0" fontId="2" fillId="16" borderId="1" xfId="0" applyNumberFormat="1" applyFont="1" applyFill="1" applyBorder="1" applyAlignment="1">
      <x:alignment horizontal="left" wrapText="1"/>
    </x:xf>
    <x:xf numFmtId="0" fontId="2" fillId="16" borderId="15" xfId="0" applyNumberFormat="1" applyFont="1" applyFill="1" applyBorder="1" applyAlignment="1">
      <x:alignment horizontal="left" wrapText="1"/>
    </x:xf>
    <x:xf numFmtId="0" fontId="2" fillId="16" borderId="16" xfId="0" applyNumberFormat="1" applyFont="1" applyFill="1" applyBorder="1" applyAlignment="1">
      <x:alignment horizontal="left" wrapText="1"/>
    </x:xf>
    <x:xf numFmtId="0" fontId="2" fillId="16" borderId="21" xfId="0" applyNumberFormat="1" applyFont="1" applyFill="1" applyBorder="1" applyAlignment="1">
      <x:alignment horizontal="left" wrapText="1"/>
    </x:xf>
    <x:xf numFmtId="0" fontId="2" fillId="16" borderId="17" xfId="0" applyNumberFormat="1" applyFont="1" applyFill="1" applyBorder="1" applyAlignment="1">
      <x:alignment horizontal="left" wrapText="1"/>
    </x:xf>
    <x:xf numFmtId="0" fontId="2" fillId="16" borderId="14" xfId="0" applyNumberFormat="1" applyFont="1" applyFill="1" applyBorder="1" applyAlignment="1">
      <x:alignment horizontal="left" vertical="center" wrapText="1"/>
    </x:xf>
    <x:xf numFmtId="0" fontId="2" fillId="16" borderId="1" xfId="0" applyNumberFormat="1" applyFont="1" applyFill="1" applyBorder="1" applyAlignment="1">
      <x:alignment horizontal="left" vertical="center" wrapText="1"/>
    </x:xf>
    <x:xf numFmtId="0" fontId="2" fillId="16" borderId="15" xfId="0" applyNumberFormat="1" applyFont="1" applyFill="1" applyBorder="1" applyAlignment="1">
      <x:alignment horizontal="left" vertical="center" wrapText="1"/>
    </x:xf>
    <x:xf numFmtId="0" fontId="2" fillId="16" borderId="16" xfId="0" applyNumberFormat="1" applyFont="1" applyFill="1" applyBorder="1" applyAlignment="1">
      <x:alignment horizontal="left" vertical="center" wrapText="1"/>
    </x:xf>
    <x:xf numFmtId="0" fontId="2" fillId="16" borderId="21" xfId="0" applyNumberFormat="1" applyFont="1" applyFill="1" applyBorder="1" applyAlignment="1">
      <x:alignment horizontal="left" vertical="center" wrapText="1"/>
    </x:xf>
    <x:xf numFmtId="0" fontId="2" fillId="16" borderId="17" xfId="0" applyNumberFormat="1" applyFont="1" applyFill="1" applyBorder="1" applyAlignment="1">
      <x:alignment horizontal="left" vertical="center" wrapText="1"/>
    </x:xf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8" xfId="0" applyNumberFormat="1" applyFont="1" applyFill="1" applyBorder="1" applyAlignment="1">
      <x:alignment horizontal="left"/>
    </x:xf>
    <x:xf numFmtId="0" fontId="5" fillId="6" borderId="9" xfId="0" applyNumberFormat="1" applyFont="1" applyFill="1" applyBorder="1" applyAlignment="1">
      <x:alignment horizontal="left"/>
    </x:xf>
    <x:xf numFmtId="0" fontId="5" fillId="6" borderId="8" xfId="0" applyNumberFormat="1" applyFont="1" applyFill="1" applyBorder="1" applyAlignment="1">
      <x:alignment horizontal="left" vertical="center"/>
    </x:xf>
    <x:xf numFmtId="0" fontId="5" fillId="6" borderId="9" xfId="0" applyNumberFormat="1" applyFont="1" applyFill="1" applyBorder="1" applyAlignment="1">
      <x:alignment horizontal="left" vertical="center"/>
    </x:xf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4" xfId="0" applyNumberFormat="1" applyFont="1" applyFill="1" applyBorder="1" applyAlignment="1">
      <x:alignment horizontal="left"/>
    </x:xf>
    <x:xf numFmtId="0" fontId="5" fillId="6" borderId="15" xfId="0" applyNumberFormat="1" applyFont="1" applyFill="1" applyBorder="1" applyAlignment="1">
      <x:alignment horizontal="left"/>
    </x:xf>
    <x:xf numFmtId="0" fontId="5" fillId="6" borderId="14" xfId="0" applyNumberFormat="1" applyFont="1" applyFill="1" applyBorder="1" applyAlignment="1">
      <x:alignment horizontal="left" vertical="center"/>
    </x:xf>
    <x:xf numFmtId="0" fontId="5" fillId="6" borderId="15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8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9" xfId="0" applyNumberFormat="1" applyFont="1" applyFill="1" applyBorder="1" applyAlignment="1">
      <x:alignment vertical="center"/>
    </x:xf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4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5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17" borderId="8" xfId="0" applyNumberFormat="1" applyFont="1" applyFill="1" applyBorder="1"/>
    <x:xf numFmtId="0" fontId="0" fillId="17" borderId="0" xfId="0" applyNumberFormat="1" applyFont="1" applyFill="1" applyBorder="1"/>
    <x:xf numFmtId="0" fontId="0" fillId="17" borderId="9" xfId="0" applyNumberFormat="1" applyFont="1" applyFill="1" applyBorder="1"/>
    <x:xf numFmtId="0" fontId="2" fillId="17" borderId="8" xfId="0" applyNumberFormat="1" applyFont="1" applyFill="1" applyBorder="1"/>
    <x:xf numFmtId="0" fontId="2" fillId="17" borderId="0" xfId="0" applyNumberFormat="1" applyFont="1" applyFill="1" applyBorder="1"/>
    <x:xf numFmtId="0" fontId="2" fillId="17" borderId="9" xfId="0" applyNumberFormat="1" applyFont="1" applyFill="1" applyBorder="1"/>
    <x:xf numFmtId="0" fontId="2" fillId="17" borderId="8" xfId="0" applyNumberFormat="1" applyFont="1" applyFill="1" applyBorder="1" applyAlignment="1">
      <x:alignment vertical="center"/>
    </x:xf>
    <x:xf numFmtId="0" fontId="2" fillId="17" borderId="0" xfId="0" applyNumberFormat="1" applyFont="1" applyFill="1" applyBorder="1" applyAlignment="1">
      <x:alignment vertical="center"/>
    </x:xf>
    <x:xf numFmtId="0" fontId="2" fillId="17" borderId="9" xfId="0" applyNumberFormat="1" applyFont="1" applyFill="1" applyBorder="1" applyAlignment="1">
      <x:alignment vertical="center"/>
    </x:xf>
    <x:xf numFmtId="0" fontId="0" fillId="17" borderId="14" xfId="0" applyNumberFormat="1" applyFont="1" applyFill="1" applyBorder="1"/>
    <x:xf numFmtId="0" fontId="0" fillId="17" borderId="1" xfId="0" applyNumberFormat="1" applyFont="1" applyFill="1" applyBorder="1"/>
    <x:xf numFmtId="0" fontId="0" fillId="17" borderId="15" xfId="0" applyNumberFormat="1" applyFont="1" applyFill="1" applyBorder="1"/>
    <x:xf numFmtId="0" fontId="2" fillId="17" borderId="14" xfId="0" applyNumberFormat="1" applyFont="1" applyFill="1" applyBorder="1"/>
    <x:xf numFmtId="0" fontId="2" fillId="17" borderId="1" xfId="0" applyNumberFormat="1" applyFont="1" applyFill="1" applyBorder="1"/>
    <x:xf numFmtId="0" fontId="2" fillId="17" borderId="15" xfId="0" applyNumberFormat="1" applyFont="1" applyFill="1" applyBorder="1"/>
    <x:xf numFmtId="0" fontId="2" fillId="17" borderId="14" xfId="0" applyNumberFormat="1" applyFont="1" applyFill="1" applyBorder="1" applyAlignment="1">
      <x:alignment vertical="center"/>
    </x:xf>
    <x:xf numFmtId="0" fontId="2" fillId="17" borderId="1" xfId="0" applyNumberFormat="1" applyFont="1" applyFill="1" applyBorder="1" applyAlignment="1">
      <x:alignment vertical="center"/>
    </x:xf>
    <x:xf numFmtId="0" fontId="2" fillId="17" borderId="15" xfId="0" applyNumberFormat="1" applyFont="1" applyFill="1" applyBorder="1" applyAlignment="1">
      <x:alignment vertical="center"/>
    </x:xf>
    <x:xf numFmtId="0" fontId="2" fillId="17" borderId="0" xfId="0" applyNumberFormat="1" applyFont="1" applyFill="1" applyBorder="1" applyAlignment="1">
      <x:alignment vertical="center" wrapText="1"/>
    </x:xf>
    <x:xf numFmtId="0" fontId="2" fillId="17" borderId="1" xfId="0" applyNumberFormat="1" applyFont="1" applyFill="1" applyBorder="1" applyAlignment="1">
      <x:alignment vertical="center" wrapText="1"/>
    </x:xf>
    <x:xf numFmtId="0" fontId="2" fillId="17" borderId="9" xfId="0" applyNumberFormat="1" applyFont="1" applyFill="1" applyBorder="1" applyAlignment="1">
      <x:alignment vertical="center" wrapText="1"/>
    </x:xf>
    <x:xf numFmtId="0" fontId="2" fillId="17" borderId="15" xfId="0" applyNumberFormat="1" applyFont="1" applyFill="1" applyBorder="1" applyAlignment="1">
      <x:alignment vertical="center" wrapText="1"/>
    </x:xf>
    <x:xf numFmtId="0" fontId="2" fillId="17" borderId="0" xfId="0" applyNumberFormat="1" applyFont="1" applyFill="1" applyBorder="1" applyAlignment="1">
      <x:alignment horizontal="center" vertical="center"/>
    </x:xf>
    <x:xf numFmtId="0" fontId="2" fillId="17" borderId="1" xfId="0" applyNumberFormat="1" applyFont="1" applyFill="1" applyBorder="1" applyAlignment="1">
      <x:alignment horizontal="center" vertical="center"/>
    </x:xf>
    <x:xf numFmtId="0" fontId="0" fillId="17" borderId="10" xfId="0" applyNumberFormat="1" applyFont="1" applyFill="1" applyBorder="1"/>
    <x:xf numFmtId="0" fontId="0" fillId="17" borderId="19" xfId="0" applyNumberFormat="1" applyFont="1" applyFill="1" applyBorder="1"/>
    <x:xf numFmtId="0" fontId="0" fillId="17" borderId="11" xfId="0" applyNumberFormat="1" applyFont="1" applyFill="1" applyBorder="1"/>
    <x:xf numFmtId="0" fontId="17" fillId="17" borderId="8" xfId="0" applyNumberFormat="1" applyFont="1" applyFill="1" applyBorder="1"/>
    <x:xf numFmtId="0" fontId="17" fillId="17" borderId="0" xfId="0" applyNumberFormat="1" applyFont="1" applyFill="1" applyBorder="1"/>
    <x:xf numFmtId="0" fontId="17" fillId="17" borderId="9" xfId="0" applyNumberFormat="1" applyFont="1" applyFill="1" applyBorder="1"/>
    <x:xf numFmtId="0" fontId="17" fillId="17" borderId="10" xfId="0" applyNumberFormat="1" applyFont="1" applyFill="1" applyBorder="1"/>
    <x:xf numFmtId="0" fontId="17" fillId="17" borderId="19" xfId="0" applyNumberFormat="1" applyFont="1" applyFill="1" applyBorder="1"/>
    <x:xf numFmtId="0" fontId="17" fillId="17" borderId="11" xfId="0" applyNumberFormat="1" applyFont="1" applyFill="1" applyBorder="1"/>
    <x:xf numFmtId="0" fontId="17" fillId="17" borderId="8" xfId="0" applyNumberFormat="1" applyFont="1" applyFill="1" applyBorder="1" applyAlignment="1">
      <x:alignment wrapText="1"/>
    </x:xf>
    <x:xf numFmtId="0" fontId="17" fillId="17" borderId="0" xfId="0" applyNumberFormat="1" applyFont="1" applyFill="1" applyBorder="1" applyAlignment="1">
      <x:alignment wrapText="1"/>
    </x:xf>
    <x:xf numFmtId="0" fontId="17" fillId="17" borderId="9" xfId="0" applyNumberFormat="1" applyFont="1" applyFill="1" applyBorder="1" applyAlignment="1">
      <x:alignment wrapText="1"/>
    </x:xf>
    <x:xf numFmtId="0" fontId="17" fillId="17" borderId="10" xfId="0" applyNumberFormat="1" applyFont="1" applyFill="1" applyBorder="1" applyAlignment="1">
      <x:alignment wrapText="1"/>
    </x:xf>
    <x:xf numFmtId="0" fontId="17" fillId="17" borderId="19" xfId="0" applyNumberFormat="1" applyFont="1" applyFill="1" applyBorder="1" applyAlignment="1">
      <x:alignment wrapText="1"/>
    </x:xf>
    <x:xf numFmtId="0" fontId="17" fillId="17" borderId="11" xfId="0" applyNumberFormat="1" applyFont="1" applyFill="1" applyBorder="1" applyAlignment="1">
      <x:alignment wrapText="1"/>
    </x:xf>
    <x:xf numFmtId="0" fontId="17" fillId="17" borderId="8" xfId="0" applyNumberFormat="1" applyFont="1" applyFill="1" applyBorder="1" applyAlignment="1">
      <x:alignment horizontal="left" wrapText="1"/>
    </x:xf>
    <x:xf numFmtId="0" fontId="17" fillId="17" borderId="0" xfId="0" applyNumberFormat="1" applyFont="1" applyFill="1" applyBorder="1" applyAlignment="1">
      <x:alignment horizontal="left" wrapText="1"/>
    </x:xf>
    <x:xf numFmtId="0" fontId="17" fillId="17" borderId="9" xfId="0" applyNumberFormat="1" applyFont="1" applyFill="1" applyBorder="1" applyAlignment="1">
      <x:alignment horizontal="left" wrapText="1"/>
    </x:xf>
    <x:xf numFmtId="0" fontId="17" fillId="17" borderId="10" xfId="0" applyNumberFormat="1" applyFont="1" applyFill="1" applyBorder="1" applyAlignment="1">
      <x:alignment horizontal="left" wrapText="1"/>
    </x:xf>
    <x:xf numFmtId="0" fontId="17" fillId="17" borderId="19" xfId="0" applyNumberFormat="1" applyFont="1" applyFill="1" applyBorder="1" applyAlignment="1">
      <x:alignment horizontal="left" wrapText="1"/>
    </x:xf>
    <x:xf numFmtId="0" fontId="17" fillId="17" borderId="11" xfId="0" applyNumberFormat="1" applyFont="1" applyFill="1" applyBorder="1" applyAlignment="1">
      <x:alignment horizontal="left" wrapText="1"/>
    </x:xf>
    <x:xf numFmtId="0" fontId="17" fillId="17" borderId="8" xfId="0" applyNumberFormat="1" applyFont="1" applyFill="1" applyBorder="1" applyAlignment="1">
      <x:alignment horizontal="left" vertical="center" wrapText="1"/>
    </x:xf>
    <x:xf numFmtId="0" fontId="17" fillId="17" borderId="0" xfId="0" applyNumberFormat="1" applyFont="1" applyFill="1" applyBorder="1" applyAlignment="1">
      <x:alignment horizontal="left" vertical="center" wrapText="1"/>
    </x:xf>
    <x:xf numFmtId="0" fontId="17" fillId="17" borderId="9" xfId="0" applyNumberFormat="1" applyFont="1" applyFill="1" applyBorder="1" applyAlignment="1">
      <x:alignment horizontal="left" vertical="center" wrapText="1"/>
    </x:xf>
    <x:xf numFmtId="0" fontId="17" fillId="17" borderId="10" xfId="0" applyNumberFormat="1" applyFont="1" applyFill="1" applyBorder="1" applyAlignment="1">
      <x:alignment horizontal="left" vertical="center" wrapText="1"/>
    </x:xf>
    <x:xf numFmtId="0" fontId="17" fillId="17" borderId="19" xfId="0" applyNumberFormat="1" applyFont="1" applyFill="1" applyBorder="1" applyAlignment="1">
      <x:alignment horizontal="left" vertical="center" wrapText="1"/>
    </x:xf>
    <x:xf numFmtId="0" fontId="17" fillId="17" borderId="11" xfId="0" applyNumberFormat="1" applyFont="1" applyFill="1" applyBorder="1" applyAlignment="1">
      <x:alignment horizontal="left" vertical="center" wrapText="1"/>
    </x:xf>
    <x:xf numFmtId="0" fontId="0" fillId="17" borderId="16" xfId="0" applyNumberFormat="1" applyFont="1" applyFill="1" applyBorder="1"/>
    <x:xf numFmtId="0" fontId="0" fillId="17" borderId="21" xfId="0" applyNumberFormat="1" applyFont="1" applyFill="1" applyBorder="1"/>
    <x:xf numFmtId="0" fontId="0" fillId="17" borderId="17" xfId="0" applyNumberFormat="1" applyFont="1" applyFill="1" applyBorder="1"/>
    <x:xf numFmtId="0" fontId="17" fillId="17" borderId="14" xfId="0" applyNumberFormat="1" applyFont="1" applyFill="1" applyBorder="1"/>
    <x:xf numFmtId="0" fontId="17" fillId="17" borderId="1" xfId="0" applyNumberFormat="1" applyFont="1" applyFill="1" applyBorder="1"/>
    <x:xf numFmtId="0" fontId="17" fillId="17" borderId="15" xfId="0" applyNumberFormat="1" applyFont="1" applyFill="1" applyBorder="1"/>
    <x:xf numFmtId="0" fontId="17" fillId="17" borderId="16" xfId="0" applyNumberFormat="1" applyFont="1" applyFill="1" applyBorder="1"/>
    <x:xf numFmtId="0" fontId="17" fillId="17" borderId="21" xfId="0" applyNumberFormat="1" applyFont="1" applyFill="1" applyBorder="1"/>
    <x:xf numFmtId="0" fontId="17" fillId="17" borderId="17" xfId="0" applyNumberFormat="1" applyFont="1" applyFill="1" applyBorder="1"/>
    <x:xf numFmtId="0" fontId="17" fillId="17" borderId="14" xfId="0" applyNumberFormat="1" applyFont="1" applyFill="1" applyBorder="1" applyAlignment="1">
      <x:alignment wrapText="1"/>
    </x:xf>
    <x:xf numFmtId="0" fontId="17" fillId="17" borderId="1" xfId="0" applyNumberFormat="1" applyFont="1" applyFill="1" applyBorder="1" applyAlignment="1">
      <x:alignment wrapText="1"/>
    </x:xf>
    <x:xf numFmtId="0" fontId="17" fillId="17" borderId="15" xfId="0" applyNumberFormat="1" applyFont="1" applyFill="1" applyBorder="1" applyAlignment="1">
      <x:alignment wrapText="1"/>
    </x:xf>
    <x:xf numFmtId="0" fontId="17" fillId="17" borderId="16" xfId="0" applyNumberFormat="1" applyFont="1" applyFill="1" applyBorder="1" applyAlignment="1">
      <x:alignment wrapText="1"/>
    </x:xf>
    <x:xf numFmtId="0" fontId="17" fillId="17" borderId="21" xfId="0" applyNumberFormat="1" applyFont="1" applyFill="1" applyBorder="1" applyAlignment="1">
      <x:alignment wrapText="1"/>
    </x:xf>
    <x:xf numFmtId="0" fontId="17" fillId="17" borderId="17" xfId="0" applyNumberFormat="1" applyFont="1" applyFill="1" applyBorder="1" applyAlignment="1">
      <x:alignment wrapText="1"/>
    </x:xf>
    <x:xf numFmtId="0" fontId="17" fillId="17" borderId="14" xfId="0" applyNumberFormat="1" applyFont="1" applyFill="1" applyBorder="1" applyAlignment="1">
      <x:alignment horizontal="left" wrapText="1"/>
    </x:xf>
    <x:xf numFmtId="0" fontId="17" fillId="17" borderId="1" xfId="0" applyNumberFormat="1" applyFont="1" applyFill="1" applyBorder="1" applyAlignment="1">
      <x:alignment horizontal="left" wrapText="1"/>
    </x:xf>
    <x:xf numFmtId="0" fontId="17" fillId="17" borderId="15" xfId="0" applyNumberFormat="1" applyFont="1" applyFill="1" applyBorder="1" applyAlignment="1">
      <x:alignment horizontal="left" wrapText="1"/>
    </x:xf>
    <x:xf numFmtId="0" fontId="17" fillId="17" borderId="16" xfId="0" applyNumberFormat="1" applyFont="1" applyFill="1" applyBorder="1" applyAlignment="1">
      <x:alignment horizontal="left" wrapText="1"/>
    </x:xf>
    <x:xf numFmtId="0" fontId="17" fillId="17" borderId="21" xfId="0" applyNumberFormat="1" applyFont="1" applyFill="1" applyBorder="1" applyAlignment="1">
      <x:alignment horizontal="left" wrapText="1"/>
    </x:xf>
    <x:xf numFmtId="0" fontId="17" fillId="17" borderId="17" xfId="0" applyNumberFormat="1" applyFont="1" applyFill="1" applyBorder="1" applyAlignment="1">
      <x:alignment horizontal="left" wrapText="1"/>
    </x:xf>
    <x:xf numFmtId="0" fontId="17" fillId="17" borderId="14" xfId="0" applyNumberFormat="1" applyFont="1" applyFill="1" applyBorder="1" applyAlignment="1">
      <x:alignment horizontal="left" vertical="center" wrapText="1"/>
    </x:xf>
    <x:xf numFmtId="0" fontId="17" fillId="17" borderId="1" xfId="0" applyNumberFormat="1" applyFont="1" applyFill="1" applyBorder="1" applyAlignment="1">
      <x:alignment horizontal="left" vertical="center" wrapText="1"/>
    </x:xf>
    <x:xf numFmtId="0" fontId="17" fillId="17" borderId="15" xfId="0" applyNumberFormat="1" applyFont="1" applyFill="1" applyBorder="1" applyAlignment="1">
      <x:alignment horizontal="left" vertical="center" wrapText="1"/>
    </x:xf>
    <x:xf numFmtId="0" fontId="17" fillId="17" borderId="16" xfId="0" applyNumberFormat="1" applyFont="1" applyFill="1" applyBorder="1" applyAlignment="1">
      <x:alignment horizontal="left" vertical="center" wrapText="1"/>
    </x:xf>
    <x:xf numFmtId="0" fontId="17" fillId="17" borderId="21" xfId="0" applyNumberFormat="1" applyFont="1" applyFill="1" applyBorder="1" applyAlignment="1">
      <x:alignment horizontal="left" vertical="center" wrapText="1"/>
    </x:xf>
    <x:xf numFmtId="0" fontId="17" fillId="17" borderId="17" xfId="0" applyNumberFormat="1" applyFont="1" applyFill="1" applyBorder="1" applyAlignment="1">
      <x:alignment horizontal="left" vertical="center" wrapText="1"/>
    </x:xf>
    <x:xf numFmtId="0" fontId="5" fillId="6" borderId="8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5" fillId="6" borderId="9" xfId="0" applyNumberFormat="1" applyFont="1" applyFill="1" applyBorder="1" applyAlignment="1">
      <x:alignment horizontal="center" vertical="center"/>
    </x:xf>
    <x:xf numFmtId="0" fontId="5" fillId="6" borderId="14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0" fontId="5" fillId="6" borderId="15" xfId="0" applyNumberFormat="1" applyFont="1" applyFill="1" applyBorder="1" applyAlignment="1">
      <x:alignment horizontal="center"/>
    </x:xf>
    <x:xf numFmtId="0" fontId="5" fillId="6" borderId="14" xfId="0" applyNumberFormat="1" applyFont="1" applyFill="1" applyBorder="1" applyAlignment="1">
      <x:alignment horizontal="center" vertical="center"/>
    </x:xf>
    <x:xf numFmtId="0" fontId="5" fillId="6" borderId="15" xfId="0" applyNumberFormat="1" applyFont="1" applyFill="1" applyBorder="1" applyAlignment="1">
      <x:alignment horizontal="center" vertical="center"/>
    </x:xf>
    <x:xf numFmtId="0" fontId="2" fillId="4" borderId="9" xfId="0" applyNumberFormat="1" applyFont="1" applyFill="1" applyBorder="1" applyAlignment="1">
      <x:alignment horizontal="center" vertical="center"/>
    </x:xf>
    <x:xf numFmtId="0" fontId="2" fillId="4" borderId="15" xfId="0" applyNumberFormat="1" applyFont="1" applyFill="1" applyBorder="1" applyAlignment="1">
      <x:alignment horizontal="center" vertical="center"/>
    </x:xf>
    <x:xf numFmtId="203" fontId="2" fillId="4" borderId="9" xfId="0" applyNumberFormat="1" applyFont="1" applyFill="1" applyBorder="1" applyAlignment="1">
      <x:alignment horizontal="center" vertical="center"/>
    </x:xf>
    <x:xf numFmtId="203" fontId="2" fillId="4" borderId="15" xfId="0" applyNumberFormat="1" applyFont="1" applyFill="1" applyBorder="1" applyAlignment="1">
      <x:alignment horizontal="center" vertical="center"/>
    </x:xf>
    <x:xf numFmtId="0" fontId="2" fillId="17" borderId="9" xfId="0" applyNumberFormat="1" applyFont="1" applyFill="1" applyBorder="1" applyAlignment="1">
      <x:alignment horizontal="center" vertical="center"/>
    </x:xf>
    <x:xf numFmtId="0" fontId="2" fillId="17" borderId="15" xfId="0" applyNumberFormat="1" applyFont="1" applyFill="1" applyBorder="1" applyAlignment="1">
      <x:alignment horizontal="center" vertical="center"/>
    </x:xf>
    <x:xf numFmtId="203" fontId="2" fillId="17" borderId="9" xfId="0" applyNumberFormat="1" applyFont="1" applyFill="1" applyBorder="1" applyAlignment="1">
      <x:alignment horizontal="center" vertical="center"/>
    </x:xf>
    <x:xf numFmtId="203" fontId="2" fillId="17" borderId="15" xfId="0" applyNumberFormat="1" applyFont="1" applyFill="1" applyBorder="1" applyAlignment="1">
      <x:alignment horizontal="center" vertical="center"/>
    </x:xf>
    <x:xf numFmtId="0" fontId="0" fillId="18" borderId="8" xfId="0" applyNumberFormat="1" applyFont="1" applyFill="1" applyBorder="1"/>
    <x:xf numFmtId="0" fontId="0" fillId="18" borderId="0" xfId="0" applyNumberFormat="1" applyFont="1" applyFill="1" applyBorder="1"/>
    <x:xf numFmtId="0" fontId="0" fillId="18" borderId="9" xfId="0" applyNumberFormat="1" applyFont="1" applyFill="1" applyBorder="1"/>
    <x:xf numFmtId="0" fontId="18" fillId="18" borderId="8" xfId="0" applyNumberFormat="1" applyFont="1" applyFill="1" applyBorder="1"/>
    <x:xf numFmtId="0" fontId="18" fillId="18" borderId="0" xfId="0" applyNumberFormat="1" applyFont="1" applyFill="1" applyBorder="1"/>
    <x:xf numFmtId="0" fontId="18" fillId="18" borderId="9" xfId="0" applyNumberFormat="1" applyFont="1" applyFill="1" applyBorder="1"/>
    <x:xf numFmtId="0" fontId="18" fillId="18" borderId="8" xfId="0" applyNumberFormat="1" applyFont="1" applyFill="1" applyBorder="1" applyAlignment="1">
      <x:alignment wrapText="1"/>
    </x:xf>
    <x:xf numFmtId="0" fontId="18" fillId="18" borderId="0" xfId="0" applyNumberFormat="1" applyFont="1" applyFill="1" applyBorder="1" applyAlignment="1">
      <x:alignment wrapText="1"/>
    </x:xf>
    <x:xf numFmtId="0" fontId="18" fillId="18" borderId="9" xfId="0" applyNumberFormat="1" applyFont="1" applyFill="1" applyBorder="1" applyAlignment="1">
      <x:alignment wrapText="1"/>
    </x:xf>
    <x:xf numFmtId="0" fontId="18" fillId="18" borderId="8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18" fillId="18" borderId="9" xfId="0" applyNumberFormat="1" applyFont="1" applyFill="1" applyBorder="1" applyAlignment="1">
      <x:alignment vertical="center" wrapText="1"/>
    </x:xf>
    <x:xf numFmtId="0" fontId="0" fillId="18" borderId="14" xfId="0" applyNumberFormat="1" applyFont="1" applyFill="1" applyBorder="1"/>
    <x:xf numFmtId="0" fontId="0" fillId="18" borderId="1" xfId="0" applyNumberFormat="1" applyFont="1" applyFill="1" applyBorder="1"/>
    <x:xf numFmtId="0" fontId="0" fillId="18" borderId="15" xfId="0" applyNumberFormat="1" applyFont="1" applyFill="1" applyBorder="1"/>
    <x:xf numFmtId="0" fontId="18" fillId="18" borderId="14" xfId="0" applyNumberFormat="1" applyFont="1" applyFill="1" applyBorder="1"/>
    <x:xf numFmtId="0" fontId="18" fillId="18" borderId="1" xfId="0" applyNumberFormat="1" applyFont="1" applyFill="1" applyBorder="1"/>
    <x:xf numFmtId="0" fontId="18" fillId="18" borderId="15" xfId="0" applyNumberFormat="1" applyFont="1" applyFill="1" applyBorder="1"/>
    <x:xf numFmtId="0" fontId="18" fillId="18" borderId="14" xfId="0" applyNumberFormat="1" applyFont="1" applyFill="1" applyBorder="1" applyAlignment="1">
      <x:alignment wrapText="1"/>
    </x:xf>
    <x:xf numFmtId="0" fontId="18" fillId="18" borderId="1" xfId="0" applyNumberFormat="1" applyFont="1" applyFill="1" applyBorder="1" applyAlignment="1">
      <x:alignment wrapText="1"/>
    </x:xf>
    <x:xf numFmtId="0" fontId="18" fillId="18" borderId="15" xfId="0" applyNumberFormat="1" applyFont="1" applyFill="1" applyBorder="1" applyAlignment="1">
      <x:alignment wrapText="1"/>
    </x:xf>
    <x:xf numFmtId="0" fontId="18" fillId="18" borderId="14" xfId="0" applyNumberFormat="1" applyFont="1" applyFill="1" applyBorder="1" applyAlignment="1">
      <x:alignment vertical="center" wrapText="1"/>
    </x:xf>
    <x:xf numFmtId="0" fontId="18" fillId="18" borderId="1" xfId="0" applyNumberFormat="1" applyFont="1" applyFill="1" applyBorder="1" applyAlignment="1">
      <x:alignment vertical="center" wrapText="1"/>
    </x:xf>
    <x:xf numFmtId="0" fontId="18" fillId="18" borderId="15" xfId="0" applyNumberFormat="1" applyFont="1" applyFill="1" applyBorder="1" applyAlignment="1">
      <x:alignment vertical="center" wrapText="1"/>
    </x:xf>
    <x:xf numFmtId="0" fontId="17" fillId="17" borderId="8" xfId="0" applyNumberFormat="1" applyFont="1" applyFill="1" applyBorder="1" applyAlignment="1">
      <x:alignment vertical="center" wrapText="1"/>
    </x:xf>
    <x:xf numFmtId="0" fontId="17" fillId="17" borderId="0" xfId="0" applyNumberFormat="1" applyFont="1" applyFill="1" applyBorder="1" applyAlignment="1">
      <x:alignment vertical="center" wrapText="1"/>
    </x:xf>
    <x:xf numFmtId="0" fontId="17" fillId="17" borderId="9" xfId="0" applyNumberFormat="1" applyFont="1" applyFill="1" applyBorder="1" applyAlignment="1">
      <x:alignment vertical="center" wrapText="1"/>
    </x:xf>
    <x:xf numFmtId="0" fontId="17" fillId="17" borderId="10" xfId="0" applyNumberFormat="1" applyFont="1" applyFill="1" applyBorder="1" applyAlignment="1">
      <x:alignment vertical="center" wrapText="1"/>
    </x:xf>
    <x:xf numFmtId="0" fontId="17" fillId="17" borderId="19" xfId="0" applyNumberFormat="1" applyFont="1" applyFill="1" applyBorder="1" applyAlignment="1">
      <x:alignment vertical="center" wrapText="1"/>
    </x:xf>
    <x:xf numFmtId="0" fontId="17" fillId="17" borderId="11" xfId="0" applyNumberFormat="1" applyFont="1" applyFill="1" applyBorder="1" applyAlignment="1">
      <x:alignment vertical="center" wrapText="1"/>
    </x:xf>
    <x:xf numFmtId="0" fontId="17" fillId="17" borderId="14" xfId="0" applyNumberFormat="1" applyFont="1" applyFill="1" applyBorder="1" applyAlignment="1">
      <x:alignment vertical="center" wrapText="1"/>
    </x:xf>
    <x:xf numFmtId="0" fontId="17" fillId="17" borderId="1" xfId="0" applyNumberFormat="1" applyFont="1" applyFill="1" applyBorder="1" applyAlignment="1">
      <x:alignment vertical="center" wrapText="1"/>
    </x:xf>
    <x:xf numFmtId="0" fontId="17" fillId="17" borderId="15" xfId="0" applyNumberFormat="1" applyFont="1" applyFill="1" applyBorder="1" applyAlignment="1">
      <x:alignment vertical="center" wrapText="1"/>
    </x:xf>
    <x:xf numFmtId="0" fontId="17" fillId="17" borderId="16" xfId="0" applyNumberFormat="1" applyFont="1" applyFill="1" applyBorder="1" applyAlignment="1">
      <x:alignment vertical="center" wrapText="1"/>
    </x:xf>
    <x:xf numFmtId="0" fontId="17" fillId="17" borderId="21" xfId="0" applyNumberFormat="1" applyFont="1" applyFill="1" applyBorder="1" applyAlignment="1">
      <x:alignment vertical="center" wrapText="1"/>
    </x:xf>
    <x:xf numFmtId="0" fontId="17" fillId="17" borderId="17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horizontal="center" vertical="center"/>
    </x:xf>
    <x:xf numFmtId="203" fontId="2" fillId="4" borderId="1" xfId="0" applyNumberFormat="1" applyFont="1" applyFill="1" applyBorder="1" applyAlignment="1">
      <x:alignment horizontal="center" vertical="center"/>
    </x:xf>
    <x:xf numFmtId="203" fontId="2" fillId="17" borderId="0" xfId="0" applyNumberFormat="1" applyFont="1" applyFill="1" applyBorder="1" applyAlignment="1">
      <x:alignment horizontal="center" vertical="center"/>
    </x:xf>
    <x:xf numFmtId="203" fontId="2" fillId="17" borderId="1" xfId="0" applyNumberFormat="1" applyFont="1" applyFill="1" applyBorder="1" applyAlignment="1">
      <x:alignment horizontal="center" vertical="center"/>
    </x:xf>
    <x:xf numFmtId="0" fontId="0" fillId="3" borderId="10" xfId="0" applyNumberFormat="1" applyFont="1" applyFill="1" applyBorder="1"/>
    <x:xf numFmtId="0" fontId="0" fillId="3" borderId="19" xfId="0" applyNumberFormat="1" applyFont="1" applyFill="1" applyBorder="1"/>
    <x:xf numFmtId="0" fontId="0" fillId="3" borderId="11" xfId="0" applyNumberFormat="1" applyFont="1" applyFill="1" applyBorder="1"/>
    <x:xf numFmtId="0" fontId="19" fillId="3" borderId="8" xfId="0" applyNumberFormat="1" applyFont="1" applyFill="1" applyBorder="1"/>
    <x:xf numFmtId="0" fontId="19" fillId="3" borderId="0" xfId="0" applyNumberFormat="1" applyFont="1" applyFill="1" applyBorder="1"/>
    <x:xf numFmtId="0" fontId="19" fillId="3" borderId="9" xfId="0" applyNumberFormat="1" applyFont="1" applyFill="1" applyBorder="1"/>
    <x:xf numFmtId="0" fontId="19" fillId="3" borderId="10" xfId="0" applyNumberFormat="1" applyFont="1" applyFill="1" applyBorder="1"/>
    <x:xf numFmtId="0" fontId="19" fillId="3" borderId="19" xfId="0" applyNumberFormat="1" applyFont="1" applyFill="1" applyBorder="1"/>
    <x:xf numFmtId="0" fontId="19" fillId="3" borderId="11" xfId="0" applyNumberFormat="1" applyFont="1" applyFill="1" applyBorder="1"/>
    <x:xf numFmtId="0" fontId="19" fillId="3" borderId="8" xfId="0" applyNumberFormat="1" applyFont="1" applyFill="1" applyBorder="1" applyAlignment="1">
      <x:alignment wrapText="1"/>
    </x:xf>
    <x:xf numFmtId="0" fontId="19" fillId="3" borderId="0" xfId="0" applyNumberFormat="1" applyFont="1" applyFill="1" applyBorder="1" applyAlignment="1">
      <x:alignment wrapText="1"/>
    </x:xf>
    <x:xf numFmtId="0" fontId="19" fillId="3" borderId="9" xfId="0" applyNumberFormat="1" applyFont="1" applyFill="1" applyBorder="1" applyAlignment="1">
      <x:alignment wrapText="1"/>
    </x:xf>
    <x:xf numFmtId="0" fontId="19" fillId="3" borderId="10" xfId="0" applyNumberFormat="1" applyFont="1" applyFill="1" applyBorder="1" applyAlignment="1">
      <x:alignment wrapText="1"/>
    </x:xf>
    <x:xf numFmtId="0" fontId="19" fillId="3" borderId="19" xfId="0" applyNumberFormat="1" applyFont="1" applyFill="1" applyBorder="1" applyAlignment="1">
      <x:alignment wrapText="1"/>
    </x:xf>
    <x:xf numFmtId="0" fontId="19" fillId="3" borderId="11" xfId="0" applyNumberFormat="1" applyFont="1" applyFill="1" applyBorder="1" applyAlignment="1">
      <x:alignment wrapText="1"/>
    </x:xf>
    <x:xf numFmtId="0" fontId="19" fillId="3" borderId="8" xfId="0" applyNumberFormat="1" applyFont="1" applyFill="1" applyBorder="1" applyAlignment="1">
      <x:alignment vertical="center" wrapText="1"/>
    </x:xf>
    <x:xf numFmtId="0" fontId="19" fillId="3" borderId="0" xfId="0" applyNumberFormat="1" applyFont="1" applyFill="1" applyBorder="1" applyAlignment="1">
      <x:alignment vertical="center" wrapText="1"/>
    </x:xf>
    <x:xf numFmtId="0" fontId="19" fillId="3" borderId="9" xfId="0" applyNumberFormat="1" applyFont="1" applyFill="1" applyBorder="1" applyAlignment="1">
      <x:alignment vertical="center" wrapText="1"/>
    </x:xf>
    <x:xf numFmtId="0" fontId="19" fillId="3" borderId="10" xfId="0" applyNumberFormat="1" applyFont="1" applyFill="1" applyBorder="1" applyAlignment="1">
      <x:alignment vertical="center" wrapText="1"/>
    </x:xf>
    <x:xf numFmtId="0" fontId="19" fillId="3" borderId="19" xfId="0" applyNumberFormat="1" applyFont="1" applyFill="1" applyBorder="1" applyAlignment="1">
      <x:alignment vertical="center" wrapText="1"/>
    </x:xf>
    <x:xf numFmtId="0" fontId="19" fillId="3" borderId="11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/>
    <x:xf numFmtId="0" fontId="0" fillId="3" borderId="21" xfId="0" applyNumberFormat="1" applyFont="1" applyFill="1" applyBorder="1"/>
    <x:xf numFmtId="0" fontId="0" fillId="3" borderId="17" xfId="0" applyNumberFormat="1" applyFont="1" applyFill="1" applyBorder="1"/>
    <x:xf numFmtId="0" fontId="19" fillId="3" borderId="14" xfId="0" applyNumberFormat="1" applyFont="1" applyFill="1" applyBorder="1"/>
    <x:xf numFmtId="0" fontId="19" fillId="3" borderId="1" xfId="0" applyNumberFormat="1" applyFont="1" applyFill="1" applyBorder="1"/>
    <x:xf numFmtId="0" fontId="19" fillId="3" borderId="15" xfId="0" applyNumberFormat="1" applyFont="1" applyFill="1" applyBorder="1"/>
    <x:xf numFmtId="0" fontId="19" fillId="3" borderId="16" xfId="0" applyNumberFormat="1" applyFont="1" applyFill="1" applyBorder="1"/>
    <x:xf numFmtId="0" fontId="19" fillId="3" borderId="21" xfId="0" applyNumberFormat="1" applyFont="1" applyFill="1" applyBorder="1"/>
    <x:xf numFmtId="0" fontId="19" fillId="3" borderId="17" xfId="0" applyNumberFormat="1" applyFont="1" applyFill="1" applyBorder="1"/>
    <x:xf numFmtId="0" fontId="19" fillId="3" borderId="14" xfId="0" applyNumberFormat="1" applyFont="1" applyFill="1" applyBorder="1" applyAlignment="1">
      <x:alignment wrapText="1"/>
    </x:xf>
    <x:xf numFmtId="0" fontId="19" fillId="3" borderId="1" xfId="0" applyNumberFormat="1" applyFont="1" applyFill="1" applyBorder="1" applyAlignment="1">
      <x:alignment wrapText="1"/>
    </x:xf>
    <x:xf numFmtId="0" fontId="19" fillId="3" borderId="15" xfId="0" applyNumberFormat="1" applyFont="1" applyFill="1" applyBorder="1" applyAlignment="1">
      <x:alignment wrapText="1"/>
    </x:xf>
    <x:xf numFmtId="0" fontId="19" fillId="3" borderId="16" xfId="0" applyNumberFormat="1" applyFont="1" applyFill="1" applyBorder="1" applyAlignment="1">
      <x:alignment wrapText="1"/>
    </x:xf>
    <x:xf numFmtId="0" fontId="19" fillId="3" borderId="21" xfId="0" applyNumberFormat="1" applyFont="1" applyFill="1" applyBorder="1" applyAlignment="1">
      <x:alignment wrapText="1"/>
    </x:xf>
    <x:xf numFmtId="0" fontId="19" fillId="3" borderId="17" xfId="0" applyNumberFormat="1" applyFont="1" applyFill="1" applyBorder="1" applyAlignment="1">
      <x:alignment wrapText="1"/>
    </x:xf>
    <x:xf numFmtId="0" fontId="19" fillId="3" borderId="14" xfId="0" applyNumberFormat="1" applyFont="1" applyFill="1" applyBorder="1" applyAlignment="1">
      <x:alignment vertical="center" wrapText="1"/>
    </x:xf>
    <x:xf numFmtId="0" fontId="19" fillId="3" borderId="1" xfId="0" applyNumberFormat="1" applyFont="1" applyFill="1" applyBorder="1" applyAlignment="1">
      <x:alignment vertical="center" wrapText="1"/>
    </x:xf>
    <x:xf numFmtId="0" fontId="19" fillId="3" borderId="15" xfId="0" applyNumberFormat="1" applyFont="1" applyFill="1" applyBorder="1" applyAlignment="1">
      <x:alignment vertical="center" wrapText="1"/>
    </x:xf>
    <x:xf numFmtId="0" fontId="19" fillId="3" borderId="16" xfId="0" applyNumberFormat="1" applyFont="1" applyFill="1" applyBorder="1" applyAlignment="1">
      <x:alignment vertical="center" wrapText="1"/>
    </x:xf>
    <x:xf numFmtId="0" fontId="19" fillId="3" borderId="21" xfId="0" applyNumberFormat="1" applyFont="1" applyFill="1" applyBorder="1" applyAlignment="1">
      <x:alignment vertical="center" wrapText="1"/>
    </x:xf>
    <x:xf numFmtId="0" fontId="19" fillId="3" borderId="17" xfId="0" applyNumberFormat="1" applyFont="1" applyFill="1" applyBorder="1" applyAlignment="1">
      <x:alignment vertical="center" wrapText="1"/>
    </x:xf>
    <x:xf numFmtId="0" fontId="20" fillId="6" borderId="0" xfId="0" applyNumberFormat="1" applyFont="1" applyFill="1" applyBorder="1"/>
    <x:xf numFmtId="0" fontId="20" fillId="6" borderId="0" xfId="0" applyNumberFormat="1" applyFont="1" applyFill="1" applyBorder="1" applyAlignment="1">
      <x:alignment horizontal="center"/>
    </x:xf>
    <x:xf numFmtId="0" fontId="20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5"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475569"/>
      </x:font>
      <x:fill>
        <x:patternFill patternType="solid">
          <x:bgColor rgb="FFE2E8F0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1ba9f56ff4ab9" /><Relationship Type="http://schemas.openxmlformats.org/officeDocument/2006/relationships/theme" Target="/xl/theme/theme1.xml" Id="R04f82c62fc5d4866" /><Relationship Type="http://schemas.openxmlformats.org/officeDocument/2006/relationships/sharedStrings" Target="/xl/sharedStrings.xml" Id="Rb56dea8bf9b445e9" /><Relationship Type="http://schemas.openxmlformats.org/officeDocument/2006/relationships/worksheet" Target="/xl/worksheets/sheet1.xml" Id="R37b6ddff8c674583" /><Relationship Type="http://schemas.openxmlformats.org/officeDocument/2006/relationships/worksheet" Target="/xl/worksheets/sheet2.xml" Id="R18c6aa6dfac74a56" /><Relationship Type="http://schemas.openxmlformats.org/officeDocument/2006/relationships/worksheet" Target="/xl/worksheets/sheet3.xml" Id="R86bbf6292675423f" /><Relationship Type="http://schemas.openxmlformats.org/officeDocument/2006/relationships/worksheet" Target="/xl/worksheets/sheet4.xml" Id="Re54804182da548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82f5e04f34427b" /><Relationship Type="http://schemas.openxmlformats.org/officeDocument/2006/relationships/chart" Target="/xl/drawings/charts/chart2.xml" Id="Rd64f564b4dea4462" /></Relationships>
</file>

<file path=xl/drawings/charts/chart1.xml><?xml version="1.0" encoding="utf-8"?>
<c:chartSpace xmlns:c="http://schemas.openxmlformats.org/drawingml/2006/chart">
  <c:lang val="en-US"/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0F172A"/>
                </a:solidFill>
              </a:rPr>
              <a:t>Department × Stage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0F172A"/>
              </a:solidFill>
            </a:defRPr>
          </a:pPr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Applied</c:v>
          </c:tx>
          <c:spPr>
            <a:solidFill xmlns:a="http://schemas.openxmlformats.org/drawingml/2006/main">
              <a:srgbClr val="3B82F6"/>
            </a:solidFill>
          </c:spPr>
          <c:cat>
            <c:strRef>
              <c:f>'Calculations'!$N$2:$N$5</c:f>
              <c:strCache>
                <c:ptCount val="0"/>
              </c:strCache>
            </c:strRef>
          </c:cat>
          <c:val>
            <c:numRef>
              <c:f>'Calculations'!$O$2:$O$5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Screening</c:v>
          </c:tx>
          <c:spPr>
            <a:solidFill xmlns:a="http://schemas.openxmlformats.org/drawingml/2006/main">
              <a:srgbClr val="60A5FA"/>
            </a:solidFill>
          </c:spPr>
          <c:cat>
            <c:strRef>
              <c:f>'Calculations'!$N$2:$N$5</c:f>
              <c:strCache>
                <c:ptCount val="0"/>
              </c:strCache>
            </c:strRef>
          </c:cat>
          <c:val>
            <c:numRef>
              <c:f>'Calculations'!$P$2:$P$5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Interview</c:v>
          </c:tx>
          <c:spPr>
            <a:solidFill xmlns:a="http://schemas.openxmlformats.org/drawingml/2006/main">
              <a:srgbClr val="8B5CF6"/>
            </a:solidFill>
          </c:spPr>
          <c:cat>
            <c:strRef>
              <c:f>'Calculations'!$N$2:$N$5</c:f>
              <c:strCache>
                <c:ptCount val="0"/>
              </c:strCache>
            </c:strRef>
          </c:cat>
          <c:val>
            <c:numRef>
              <c:f>'Calculations'!$Q$2:$Q$5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Offer</c:v>
          </c:tx>
          <c:spPr>
            <a:solidFill xmlns:a="http://schemas.openxmlformats.org/drawingml/2006/main">
              <a:srgbClr val="F59E0B"/>
            </a:solidFill>
          </c:spPr>
          <c:cat>
            <c:strRef>
              <c:f>'Calculations'!$N$2:$N$5</c:f>
              <c:strCache>
                <c:ptCount val="0"/>
              </c:strCache>
            </c:strRef>
          </c:cat>
          <c:val>
            <c:numRef>
              <c:f>'Calculations'!$R$2:$R$5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Hired</c:v>
          </c:tx>
          <c:spPr>
            <a:solidFill xmlns:a="http://schemas.openxmlformats.org/drawingml/2006/main">
              <a:srgbClr val="22C55E"/>
            </a:solidFill>
          </c:spPr>
          <c:cat>
            <c:strRef>
              <c:f>'Calculations'!$N$2:$N$5</c:f>
              <c:strCache>
                <c:ptCount val="0"/>
              </c:strCache>
            </c:strRef>
          </c:cat>
          <c:val>
            <c:numRef>
              <c:f>'Calculations'!$S$2:$S$5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Rejected</c:v>
          </c:tx>
          <c:spPr>
            <a:solidFill xmlns:a="http://schemas.openxmlformats.org/drawingml/2006/main">
              <a:srgbClr val="EF4444"/>
            </a:solidFill>
          </c:spPr>
          <c:cat>
            <c:strRef>
              <c:f>'Calculations'!$N$2:$N$5</c:f>
              <c:strCache>
                <c:ptCount val="0"/>
              </c:strCache>
            </c:strRef>
          </c:cat>
          <c:val>
            <c:numRef>
              <c:f>'Calculations'!$T$2:$T$5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solidFill>
                  <a:srgbClr val="64748B"/>
                </a:solidFill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334155"/>
                </a:solidFill>
              </a:defRPr>
            </a:pPr>
          </a:p>
        </c:txPr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b"/>
      <c:overlay val="0"/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0F172A"/>
                </a:solidFill>
              </a:rPr>
              <a:t>Current Pipeline by Stage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0F172A"/>
              </a:solidFill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dPt>
            <c:idx val="0"/>
            <c:spPr>
              <a:solidFill xmlns:a="http://schemas.openxmlformats.org/drawingml/2006/main">
                <a:srgbClr val="EF4444"/>
              </a:solidFill>
            </c:spPr>
          </c:dPt>
          <c:dPt>
            <c:idx val="1"/>
            <c:spPr>
              <a:solidFill xmlns:a="http://schemas.openxmlformats.org/drawingml/2006/main">
                <a:srgbClr val="22C55E"/>
              </a:solidFill>
            </c:spPr>
          </c:dPt>
          <c:dPt>
            <c:idx val="2"/>
            <c:spPr>
              <a:solidFill xmlns:a="http://schemas.openxmlformats.org/drawingml/2006/main">
                <a:srgbClr val="F59E0B"/>
              </a:solidFill>
            </c:spPr>
          </c:dPt>
          <c:dPt>
            <c:idx val="3"/>
            <c:spPr>
              <a:solidFill xmlns:a="http://schemas.openxmlformats.org/drawingml/2006/main">
                <a:srgbClr val="3B82F6"/>
              </a:solidFill>
            </c:spPr>
          </c:dPt>
          <c:dPt>
            <c:idx val="4"/>
            <c:spPr>
              <a:solidFill xmlns:a="http://schemas.openxmlformats.org/drawingml/2006/main">
                <a:srgbClr val="3B82F6"/>
              </a:solidFill>
            </c:spPr>
          </c:dPt>
          <c:dPt>
            <c:idx val="5"/>
            <c:spPr>
              <a:solidFill xmlns:a="http://schemas.openxmlformats.org/drawingml/2006/main">
                <a:srgbClr val="3B82F6"/>
              </a:solidFill>
            </c:spPr>
          </c:dPt>
          <c:cat>
            <c:strRef>
              <c:f>'Calculations'!$H$2:$H$7</c:f>
              <c:strCache>
                <c:ptCount val="0"/>
              </c:strCache>
            </c:strRef>
          </c:cat>
          <c:val>
            <c:numRef>
              <c:f>'Calculations'!$I$2:$I$7</c:f>
              <c:numCache>
                <c:formatCode>General</c:formatCode>
                <c:ptCount val="0"/>
              </c:numCache>
            </c:numRef>
          </c:val>
        </c:ser>
        <c:dLbls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675">
                  <a:solidFill>
                    <a:srgbClr val="334155"/>
                  </a:solidFill>
                </a:defRPr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64748B"/>
                </a:solidFill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334155"/>
                </a:solidFill>
              </a:defRPr>
            </a:pPr>
          </a:p>
        </c:txPr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82f5e04f34427b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4f564b4dea446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didateDataTable" displayName="CandidateDataTable" ref="A1:U31" headerRowCount="1">
  <x:tableColumns count="21">
    <x:tableColumn id="1" name="Candidate ID"/>
    <x:tableColumn id="2" name="Candidate Name"/>
    <x:tableColumn id="3" name="Department"/>
    <x:tableColumn id="4" name="Current Stage"/>
    <x:tableColumn id="5" name="Location"/>
    <x:tableColumn id="6" name="Job Role"/>
    <x:tableColumn id="7" name="Recruiter"/>
    <x:tableColumn id="8" name="Applied Date"/>
    <x:tableColumn id="9" name="Stage Updated Date"/>
    <x:tableColumn id="10" name="Stage Age (Days)"/>
    <x:tableColumn id="11" name="Application Source"/>
    <x:tableColumn id="12" name="Experience (Years)"/>
    <x:tableColumn id="13" name="Notice Period (Days)"/>
    <x:tableColumn id="14" name="Interview Score"/>
    <x:tableColumn id="15" name="Rejection Reason"/>
    <x:tableColumn id="16" name="Offer Date"/>
    <x:tableColumn id="17" name="Joining Date"/>
    <x:tableColumn id="18" name="AI Match Score"/>
    <x:tableColumn id="19" name="AI Recommendation"/>
    <x:tableColumn id="20" name="Dropout Risk"/>
    <x:tableColumn id="21" name="Next Best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923b44639247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3d9edf2c7c48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5" hidden="0" customWidth="1"/>
    <x:col min="9" max="9" width="18" hidden="0" customWidth="1"/>
    <x:col min="10" max="10" width="12" hidden="0" customWidth="1"/>
    <x:col min="11" max="11" width="9" hidden="0" customWidth="1"/>
    <x:col min="12" max="12" width="10" hidden="0" customWidth="1"/>
    <x:col min="13" max="13" width="17" hidden="0" customWidth="1"/>
    <x:col min="14" max="14" width="17" hidden="0" customWidth="1"/>
    <x:col min="15" max="15" width="2" hidden="0" customWidth="1"/>
    <x:col min="16" max="16" width="2" hidden="0" customWidth="1"/>
  </x:cols>
  <x:sheetData>
    <x:row r="1" ht="28" customHeight="1">
      <x:c r="A1" s="47" t="str">
        <x:v>Recruitment Intelligence Dashboard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4"/>
      <x:c r="P1" s="44"/>
    </x:row>
    <x:row r="2" ht="28" customHeight="1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4"/>
      <x:c r="P2" s="44"/>
    </x:row>
    <x:row r="3" ht="20" customHeight="1">
      <x:c r="A3" s="52" t="str">
        <x:f>"Live hiring health, pipeline risk and next actions   •   Updated "&amp;TEXT(TODAY(),"dd mmm yyyy")</x:f>
        <x:v>Live hiring health, pipeline risk and next actions   •   Updated 27 Jul 2026</x:v>
      </x:c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44"/>
      <x:c r="P3" s="44"/>
    </x:row>
    <x:row r="4" ht="18" customHeight="1">
      <x:c r="A4" s="59" t="str">
        <x:v>PERIOD</x:v>
      </x:c>
      <x:c r="B4" s="59"/>
      <x:c r="C4" s="59" t="str">
        <x:v>DEPARTMENT</x:v>
      </x:c>
      <x:c r="D4" s="59"/>
      <x:c r="E4" s="59" t="str">
        <x:v>JOB ROLE</x:v>
      </x:c>
      <x:c r="F4" s="59"/>
      <x:c r="G4" s="59" t="str">
        <x:v>RECRUITER</x:v>
      </x:c>
      <x:c r="H4" s="59"/>
      <x:c r="I4" s="59" t="str">
        <x:v>LOCATION</x:v>
      </x:c>
      <x:c r="J4" s="59"/>
      <x:c r="K4" s="59" t="str">
        <x:v>STAGE</x:v>
      </x:c>
      <x:c r="L4" s="59"/>
      <x:c r="M4" s="82" t="str">
        <x:v>Use the dropdowns to filter every card, chart and table.
Reset by selecting All / All Time.</x:v>
      </x:c>
      <x:c r="N4" s="82"/>
      <x:c r="O4" s="44"/>
      <x:c r="P4" s="44"/>
    </x:row>
    <x:row r="5" ht="28" customHeight="1">
      <x:c r="A5" s="69" t="str">
        <x:v>All Time</x:v>
      </x:c>
      <x:c r="B5" s="70"/>
      <x:c r="C5" s="69" t="str">
        <x:v>All</x:v>
      </x:c>
      <x:c r="D5" s="70"/>
      <x:c r="E5" s="69" t="str">
        <x:v>All</x:v>
      </x:c>
      <x:c r="F5" s="70"/>
      <x:c r="G5" s="69" t="str">
        <x:v>All</x:v>
      </x:c>
      <x:c r="H5" s="70"/>
      <x:c r="I5" s="69" t="str">
        <x:v>All</x:v>
      </x:c>
      <x:c r="J5" s="70"/>
      <x:c r="K5" s="69" t="str">
        <x:v>All</x:v>
      </x:c>
      <x:c r="L5" s="70"/>
      <x:c r="M5" s="82"/>
      <x:c r="N5" s="82"/>
      <x:c r="O5" s="44"/>
      <x:c r="P5" s="44"/>
    </x:row>
    <x:row r="6" ht="8" customHeight="1">
      <x:c r="A6" s="44"/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44"/>
      <x:c r="O6" s="44"/>
      <x:c r="P6" s="44"/>
    </x:row>
    <x:row r="7" ht="20" customHeight="1">
      <x:c r="A7" s="106" t="str">
        <x:v>TOTAL CANDIDATES</x:v>
      </x:c>
      <x:c r="B7" s="107"/>
      <x:c r="C7" s="146" t="str">
        <x:v>ACTIVE PIPELINE</x:v>
      </x:c>
      <x:c r="D7" s="147"/>
      <x:c r="E7" s="174" t="str">
        <x:v>OFFERS</x:v>
      </x:c>
      <x:c r="F7" s="175"/>
      <x:c r="G7" s="202" t="str">
        <x:v>HIRED</x:v>
      </x:c>
      <x:c r="H7" s="203"/>
      <x:c r="I7" s="230" t="str">
        <x:v>REJECTED</x:v>
      </x:c>
      <x:c r="J7" s="231"/>
      <x:c r="K7" s="258" t="str">
        <x:v>AVG. STAGE AGE</x:v>
      </x:c>
      <x:c r="L7" s="259"/>
      <x:c r="M7" s="288" t="str">
        <x:v>HIRED SHARE</x:v>
      </x:c>
      <x:c r="N7" s="289"/>
      <x:c r="O7" s="44"/>
      <x:c r="P7" s="44"/>
    </x:row>
    <x:row r="8" ht="28" customHeight="1">
      <x:c r="A8" s="120" t="n">
        <x:f>COUNTIF(Calculations!$B$2:$B$31,1)</x:f>
        <x:v>30</x:v>
      </x:c>
      <x:c r="B8" s="121"/>
      <x:c r="C8" s="160" t="n">
        <x:f>SUMPRODUCT((Calculations!$B$2:$B$31=1)*('Candidate Data'!$D$2:$D$31&lt;&gt;"Hired")*('Candidate Data'!$D$2:$D$31&lt;&gt;"Rejected"))</x:f>
        <x:v>23</x:v>
      </x:c>
      <x:c r="D8" s="161"/>
      <x:c r="E8" s="188" t="n">
        <x:f>COUNTIFS(Calculations!$B$2:$B$31,1,'Candidate Data'!$D$2:$D$31,"Offer")</x:f>
        <x:v>5</x:v>
      </x:c>
      <x:c r="F8" s="189"/>
      <x:c r="G8" s="216" t="n">
        <x:f>COUNTIFS(Calculations!$B$2:$B$31,1,'Candidate Data'!$D$2:$D$31,"Hired")</x:f>
        <x:v>4</x:v>
      </x:c>
      <x:c r="H8" s="217"/>
      <x:c r="I8" s="244" t="n">
        <x:f>COUNTIFS(Calculations!$B$2:$B$31,1,'Candidate Data'!$D$2:$D$31,"Rejected")</x:f>
        <x:v>3</x:v>
      </x:c>
      <x:c r="J8" s="245"/>
      <x:c r="K8" s="280" t="n">
        <x:f>IFERROR(ROUND(SUMPRODUCT((Calculations!$B$2:$B$31=1)*('Candidate Data'!$D$2:$D$31&lt;&gt;"Hired")*('Candidate Data'!$D$2:$D$31&lt;&gt;"Rejected")*'Candidate Data'!$J$2:$J$31)/SUMPRODUCT((Calculations!$B$2:$B$31=1)*('Candidate Data'!$D$2:$D$31&lt;&gt;"Hired")*('Candidate Data'!$D$2:$D$31&lt;&gt;"Rejected")),1),0)</x:f>
        <x:v>6.1</x:v>
      </x:c>
      <x:c r="L8" s="273"/>
      <x:c r="M8" s="310" t="n">
        <x:f>IFERROR(G8/A8,0)</x:f>
        <x:v>0.13333333333333333</x:v>
      </x:c>
      <x:c r="N8" s="303"/>
      <x:c r="O8" s="44"/>
      <x:c r="P8" s="44"/>
    </x:row>
    <x:row r="9" ht="28" customHeight="1">
      <x:c r="A9" s="120"/>
      <x:c r="B9" s="121"/>
      <x:c r="C9" s="160"/>
      <x:c r="D9" s="161"/>
      <x:c r="E9" s="188"/>
      <x:c r="F9" s="189"/>
      <x:c r="G9" s="216"/>
      <x:c r="H9" s="217"/>
      <x:c r="I9" s="244"/>
      <x:c r="J9" s="245"/>
      <x:c r="K9" s="272"/>
      <x:c r="L9" s="273"/>
      <x:c r="M9" s="302"/>
      <x:c r="N9" s="303"/>
      <x:c r="O9" s="44"/>
      <x:c r="P9" s="44"/>
    </x:row>
    <x:row r="10" ht="20" customHeight="1">
      <x:c r="A10" s="132" t="str">
        <x:v>matching selected filters</x:v>
      </x:c>
      <x:c r="B10" s="133"/>
      <x:c r="C10" s="132" t="str">
        <x:v>not hired or rejected</x:v>
      </x:c>
      <x:c r="D10" s="133"/>
      <x:c r="E10" s="132" t="str">
        <x:v>awaiting a decision</x:v>
      </x:c>
      <x:c r="F10" s="133"/>
      <x:c r="G10" s="132" t="str">
        <x:v>successful hires</x:v>
      </x:c>
      <x:c r="H10" s="133"/>
      <x:c r="I10" s="132" t="str">
        <x:v>closed candidates</x:v>
      </x:c>
      <x:c r="J10" s="133"/>
      <x:c r="K10" s="132" t="str">
        <x:v>days in current stage</x:v>
      </x:c>
      <x:c r="L10" s="133"/>
      <x:c r="M10" s="132" t="str">
        <x:v>hired ÷ total candidates</x:v>
      </x:c>
      <x:c r="N10" s="133"/>
      <x:c r="O10" s="44"/>
      <x:c r="P10" s="44"/>
    </x:row>
    <x:row r="11" ht="10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</x:row>
    <x:row r="12" ht="24" customHeight="1">
      <x:c r="A12" s="88"/>
      <x:c r="B12" s="312"/>
      <x:c r="C12" s="312"/>
      <x:c r="D12" s="312"/>
      <x:c r="E12" s="312"/>
      <x:c r="F12" s="312"/>
      <x:c r="G12" s="89"/>
      <x:c r="H12" s="325" t="str">
        <x:v>AI HIRING INSIGHTS</x:v>
      </x:c>
      <x:c r="I12" s="326"/>
      <x:c r="J12" s="326"/>
      <x:c r="K12" s="326"/>
      <x:c r="L12" s="326"/>
      <x:c r="M12" s="326"/>
      <x:c r="N12" s="327"/>
      <x:c r="O12" s="44"/>
      <x:c r="P12" s="44"/>
    </x:row>
    <x:row r="13" ht="24" customHeight="1">
      <x:c r="A13" s="90"/>
      <x:c r="B13" s="36"/>
      <x:c r="C13" s="36"/>
      <x:c r="D13" s="36"/>
      <x:c r="E13" s="36"/>
      <x:c r="F13" s="36"/>
      <x:c r="G13" s="91"/>
      <x:c r="H13" s="348" t="str">
        <x:v>Rule-based insights that update with your filters</x:v>
      </x:c>
      <x:c r="I13" s="349"/>
      <x:c r="J13" s="349"/>
      <x:c r="K13" s="349"/>
      <x:c r="L13" s="349"/>
      <x:c r="M13" s="349"/>
      <x:c r="N13" s="350"/>
      <x:c r="O13" s="44"/>
      <x:c r="P13" s="44"/>
    </x:row>
    <x:row r="14" ht="24" customHeight="1">
      <x:c r="A14" s="90"/>
      <x:c r="B14" s="36"/>
      <x:c r="C14" s="36"/>
      <x:c r="D14" s="36"/>
      <x:c r="E14" s="36"/>
      <x:c r="F14" s="36"/>
      <x:c r="G14" s="91"/>
      <x:c r="H14" s="374" t="str">
        <x:f>IF($A$8=0,"No candidates match the selected filters.",IF(Calculations!$AN$2=0,"• No hires are visible in this view.","• "&amp;Calculations!$AM$2&amp;" leads hiring with "&amp;Calculations!$AN$2&amp;" hire(s) in the selected view."))</x:f>
        <x:v>• Finance leads hiring with 3 hire(s) in the selected view.</x:v>
      </x:c>
      <x:c r="I14" s="375"/>
      <x:c r="J14" s="375"/>
      <x:c r="K14" s="375"/>
      <x:c r="L14" s="375"/>
      <x:c r="M14" s="375"/>
      <x:c r="N14" s="376"/>
      <x:c r="O14" s="44"/>
      <x:c r="P14" s="44"/>
    </x:row>
    <x:row r="15" ht="24" customHeight="1">
      <x:c r="A15" s="90"/>
      <x:c r="B15" s="36"/>
      <x:c r="C15" s="36"/>
      <x:c r="D15" s="36"/>
      <x:c r="E15" s="36"/>
      <x:c r="F15" s="36"/>
      <x:c r="G15" s="91"/>
      <x:c r="H15" s="374"/>
      <x:c r="I15" s="375"/>
      <x:c r="J15" s="375"/>
      <x:c r="K15" s="375"/>
      <x:c r="L15" s="375"/>
      <x:c r="M15" s="375"/>
      <x:c r="N15" s="376"/>
      <x:c r="O15" s="44"/>
      <x:c r="P15" s="44"/>
    </x:row>
    <x:row r="16" ht="24" customHeight="1">
      <x:c r="A16" s="90"/>
      <x:c r="B16" s="36"/>
      <x:c r="C16" s="36"/>
      <x:c r="D16" s="36"/>
      <x:c r="E16" s="36"/>
      <x:c r="F16" s="36"/>
      <x:c r="G16" s="91"/>
      <x:c r="H16" s="374"/>
      <x:c r="I16" s="375"/>
      <x:c r="J16" s="375"/>
      <x:c r="K16" s="375"/>
      <x:c r="L16" s="375"/>
      <x:c r="M16" s="375"/>
      <x:c r="N16" s="376"/>
      <x:c r="O16" s="44"/>
      <x:c r="P16" s="44"/>
    </x:row>
    <x:row r="17" ht="24" customHeight="1">
      <x:c r="A17" s="90"/>
      <x:c r="B17" s="36"/>
      <x:c r="C17" s="36"/>
      <x:c r="D17" s="36"/>
      <x:c r="E17" s="36"/>
      <x:c r="F17" s="36"/>
      <x:c r="G17" s="91"/>
      <x:c r="H17" s="404" t="str">
        <x:f>IF($A$8=0,"",IF(Calculations!$AN$3=0,"• No active pipeline is visible.","• The largest active stage is "&amp;Calculations!$AM$3&amp;" with "&amp;Calculations!$AN$3&amp;" candidate(s). Review this stage for delays."))</x:f>
        <x:v>• The largest active stage is Interview with 6 candidate(s). Review this stage for delays.</x:v>
      </x:c>
      <x:c r="I17" s="405"/>
      <x:c r="J17" s="405"/>
      <x:c r="K17" s="405"/>
      <x:c r="L17" s="405"/>
      <x:c r="M17" s="405"/>
      <x:c r="N17" s="406"/>
      <x:c r="O17" s="44"/>
      <x:c r="P17" s="44"/>
    </x:row>
    <x:row r="18" ht="24" customHeight="1">
      <x:c r="A18" s="90"/>
      <x:c r="B18" s="36"/>
      <x:c r="C18" s="36"/>
      <x:c r="D18" s="36"/>
      <x:c r="E18" s="36"/>
      <x:c r="F18" s="36"/>
      <x:c r="G18" s="91"/>
      <x:c r="H18" s="404"/>
      <x:c r="I18" s="405"/>
      <x:c r="J18" s="405"/>
      <x:c r="K18" s="405"/>
      <x:c r="L18" s="405"/>
      <x:c r="M18" s="405"/>
      <x:c r="N18" s="406"/>
      <x:c r="O18" s="44"/>
      <x:c r="P18" s="44"/>
    </x:row>
    <x:row r="19" ht="24" customHeight="1">
      <x:c r="A19" s="90"/>
      <x:c r="B19" s="36"/>
      <x:c r="C19" s="36"/>
      <x:c r="D19" s="36"/>
      <x:c r="E19" s="36"/>
      <x:c r="F19" s="36"/>
      <x:c r="G19" s="91"/>
      <x:c r="H19" s="404"/>
      <x:c r="I19" s="405"/>
      <x:c r="J19" s="405"/>
      <x:c r="K19" s="405"/>
      <x:c r="L19" s="405"/>
      <x:c r="M19" s="405"/>
      <x:c r="N19" s="406"/>
      <x:c r="O19" s="44"/>
      <x:c r="P19" s="44"/>
    </x:row>
    <x:row r="20" ht="24" customHeight="1">
      <x:c r="A20" s="90"/>
      <x:c r="B20" s="36"/>
      <x:c r="C20" s="36"/>
      <x:c r="D20" s="36"/>
      <x:c r="E20" s="36"/>
      <x:c r="F20" s="36"/>
      <x:c r="G20" s="91"/>
      <x:c r="H20" s="433" t="str">
        <x:f>IF(Calculations!$AN$4=0,"• No overdue offers are currently visible.","• "&amp;Calculations!$AN$4&amp;" offer candidate(s) have waited more than 3 days. Follow up today.")</x:f>
        <x:v>• 5 offer candidate(s) have waited more than 3 days. Follow up today.</x:v>
      </x:c>
      <x:c r="I20" s="434"/>
      <x:c r="J20" s="434"/>
      <x:c r="K20" s="434"/>
      <x:c r="L20" s="434"/>
      <x:c r="M20" s="434"/>
      <x:c r="N20" s="435"/>
      <x:c r="O20" s="44"/>
      <x:c r="P20" s="44"/>
    </x:row>
    <x:row r="21" ht="24" customHeight="1">
      <x:c r="A21" s="90"/>
      <x:c r="B21" s="36"/>
      <x:c r="C21" s="36"/>
      <x:c r="D21" s="36"/>
      <x:c r="E21" s="36"/>
      <x:c r="F21" s="36"/>
      <x:c r="G21" s="91"/>
      <x:c r="H21" s="433"/>
      <x:c r="I21" s="434"/>
      <x:c r="J21" s="434"/>
      <x:c r="K21" s="434"/>
      <x:c r="L21" s="434"/>
      <x:c r="M21" s="434"/>
      <x:c r="N21" s="435"/>
      <x:c r="O21" s="44"/>
      <x:c r="P21" s="44"/>
    </x:row>
    <x:row r="22" ht="24" customHeight="1">
      <x:c r="A22" s="90"/>
      <x:c r="B22" s="36"/>
      <x:c r="C22" s="36"/>
      <x:c r="D22" s="36"/>
      <x:c r="E22" s="36"/>
      <x:c r="F22" s="36"/>
      <x:c r="G22" s="91"/>
      <x:c r="H22" s="433"/>
      <x:c r="I22" s="434"/>
      <x:c r="J22" s="434"/>
      <x:c r="K22" s="434"/>
      <x:c r="L22" s="434"/>
      <x:c r="M22" s="434"/>
      <x:c r="N22" s="435"/>
      <x:c r="O22" s="44"/>
      <x:c r="P22" s="44"/>
    </x:row>
    <x:row r="23" ht="24" customHeight="1">
      <x:c r="A23" s="90"/>
      <x:c r="B23" s="36"/>
      <x:c r="C23" s="36"/>
      <x:c r="D23" s="36"/>
      <x:c r="E23" s="36"/>
      <x:c r="F23" s="36"/>
      <x:c r="G23" s="91"/>
      <x:c r="H23" s="474" t="str">
        <x:f>IF(Calculations!$AN$5=0,"• No rejection concentration is visible by location.","• "&amp;Calculations!$AM$5&amp;" has the most rejections ("&amp;Calculations!$AN$5&amp;"). Review source and screening quality.")</x:f>
        <x:v>• Hyderabad has the most rejections (2). Review source and screening quality.</x:v>
      </x:c>
      <x:c r="I23" s="475"/>
      <x:c r="J23" s="475"/>
      <x:c r="K23" s="475"/>
      <x:c r="L23" s="475"/>
      <x:c r="M23" s="475"/>
      <x:c r="N23" s="476"/>
      <x:c r="O23" s="44"/>
      <x:c r="P23" s="44"/>
    </x:row>
    <x:row r="24" ht="24" customHeight="1">
      <x:c r="A24" s="92"/>
      <x:c r="B24" s="313"/>
      <x:c r="C24" s="313"/>
      <x:c r="D24" s="313"/>
      <x:c r="E24" s="313"/>
      <x:c r="F24" s="313"/>
      <x:c r="G24" s="93"/>
      <x:c r="H24" s="477"/>
      <x:c r="I24" s="478"/>
      <x:c r="J24" s="478"/>
      <x:c r="K24" s="478"/>
      <x:c r="L24" s="478"/>
      <x:c r="M24" s="478"/>
      <x:c r="N24" s="479"/>
      <x:c r="O24" s="44"/>
      <x:c r="P24" s="44"/>
    </x:row>
    <x:row r="25" ht="1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</x:row>
    <x:row r="26" ht="24" customHeight="1">
      <x:c r="A26" s="88"/>
      <x:c r="B26" s="312"/>
      <x:c r="C26" s="312"/>
      <x:c r="D26" s="312"/>
      <x:c r="E26" s="312"/>
      <x:c r="F26" s="312"/>
      <x:c r="G26" s="89"/>
      <x:c r="H26" s="325" t="str">
        <x:v>CANDIDATES REQUIRING ACTION</x:v>
      </x:c>
      <x:c r="I26" s="326"/>
      <x:c r="J26" s="326"/>
      <x:c r="K26" s="326"/>
      <x:c r="L26" s="326"/>
      <x:c r="M26" s="326"/>
      <x:c r="N26" s="327"/>
      <x:c r="O26" s="44"/>
      <x:c r="P26" s="44"/>
    </x:row>
    <x:row r="27" ht="22" customHeight="1">
      <x:c r="A27" s="90"/>
      <x:c r="B27" s="36"/>
      <x:c r="C27" s="36"/>
      <x:c r="D27" s="36"/>
      <x:c r="E27" s="36"/>
      <x:c r="F27" s="36"/>
      <x:c r="G27" s="91"/>
      <x:c r="H27" s="516" t="str">
        <x:v>Candidate</x:v>
      </x:c>
      <x:c r="I27" s="59" t="str">
        <x:v>Role</x:v>
      </x:c>
      <x:c r="J27" s="526" t="str">
        <x:v>Stage</x:v>
      </x:c>
      <x:c r="K27" s="526" t="str">
        <x:v>Days</x:v>
      </x:c>
      <x:c r="L27" s="526" t="str">
        <x:v>Risk</x:v>
      </x:c>
      <x:c r="M27" s="59" t="str">
        <x:v>Next Best Action</x:v>
      </x:c>
      <x:c r="N27" s="517"/>
      <x:c r="O27" s="44"/>
      <x:c r="P27" s="44"/>
    </x:row>
    <x:row r="28" ht="24" customHeight="1">
      <x:c r="A28" s="90"/>
      <x:c r="B28" s="36"/>
      <x:c r="C28" s="36"/>
      <x:c r="D28" s="36"/>
      <x:c r="E28" s="36"/>
      <x:c r="F28" s="36"/>
      <x:c r="G28" s="91"/>
      <x:c r="H28" s="530" t="str">
        <x:f>IF($P28="","",INDEX('Candidate Data'!$B:$B,$P28))</x:f>
        <x:v>Harish Rathore</x:v>
      </x:c>
      <x:c r="I28" s="538" t="str">
        <x:f>IF($P28="","",INDEX('Candidate Data'!$F:$F,$P28))</x:f>
        <x:v>Support Engineer</x:v>
      </x:c>
      <x:c r="J28" s="542" t="str">
        <x:f>IF($P28="","",INDEX('Candidate Data'!$D:$D,$P28))</x:f>
        <x:v>Screening</x:v>
      </x:c>
      <x:c r="K28" s="542" t="n">
        <x:f>IF($P28="","",INDEX('Candidate Data'!$J:$J,$P28))</x:f>
        <x:v>10</x:v>
      </x:c>
      <x:c r="L28" s="542" t="str">
        <x:f>IF($P28="","",INDEX('Candidate Data'!$T:$T,$P28))</x:f>
        <x:v>High</x:v>
      </x:c>
      <x:c r="M28" s="538" t="str">
        <x:f>IF($P28="","",INDEX('Candidate Data'!$U:$U,$P28))</x:f>
        <x:v>Complete screening today</x:v>
      </x:c>
      <x:c r="N28" s="540"/>
      <x:c r="O28" s="44" t="n">
        <x:f>IFERROR(AGGREGATE(14,6,Calculations!$C$2:$C$31/(Calculations!$C$2:$C$31&gt;0),ROWS($O$28:O28)),"")</x:f>
        <x:v>310.0028</x:v>
      </x:c>
      <x:c r="P28" s="44" t="n">
        <x:f>IF(O28="","",MATCH(O28,Calculations!$C$2:$C$31,0)+1)</x:f>
        <x:v>28</x:v>
      </x:c>
    </x:row>
    <x:row r="29" ht="24" customHeight="1">
      <x:c r="A29" s="90"/>
      <x:c r="B29" s="36"/>
      <x:c r="C29" s="36"/>
      <x:c r="D29" s="36"/>
      <x:c r="E29" s="36"/>
      <x:c r="F29" s="36"/>
      <x:c r="G29" s="91"/>
      <x:c r="H29" s="550" t="str">
        <x:f>IF($P29="","",INDEX('Candidate Data'!$B:$B,$P29))</x:f>
        <x:v>Meera Iyer</x:v>
      </x:c>
      <x:c r="I29" s="562" t="str">
        <x:f>IF($P29="","",INDEX('Candidate Data'!$F:$F,$P29))</x:f>
        <x:v>HR Business Partner</x:v>
      </x:c>
      <x:c r="J29" s="566" t="str">
        <x:f>IF($P29="","",INDEX('Candidate Data'!$D:$D,$P29))</x:f>
        <x:v>Offer</x:v>
      </x:c>
      <x:c r="K29" s="566" t="n">
        <x:f>IF($P29="","",INDEX('Candidate Data'!$J:$J,$P29))</x:f>
        <x:v>9</x:v>
      </x:c>
      <x:c r="L29" s="566" t="str">
        <x:f>IF($P29="","",INDEX('Candidate Data'!$T:$T,$P29))</x:f>
        <x:v>High</x:v>
      </x:c>
      <x:c r="M29" s="562" t="str">
        <x:f>IF($P29="","",INDEX('Candidate Data'!$U:$U,$P29))</x:f>
        <x:v>Follow up on offer today</x:v>
      </x:c>
      <x:c r="N29" s="564"/>
      <x:c r="O29" s="44" t="n">
        <x:f>IFERROR(AGGREGATE(14,6,Calculations!$C$2:$C$31/(Calculations!$C$2:$C$31&gt;0),ROWS($O$28:O29)),"")</x:f>
        <x:v>309.0015</x:v>
      </x:c>
      <x:c r="P29" s="44" t="n">
        <x:f>IF(O29="","",MATCH(O29,Calculations!$C$2:$C$31,0)+1)</x:f>
        <x:v>15</x:v>
      </x:c>
    </x:row>
    <x:row r="30" ht="24" customHeight="1">
      <x:c r="A30" s="90"/>
      <x:c r="B30" s="36"/>
      <x:c r="C30" s="36"/>
      <x:c r="D30" s="36"/>
      <x:c r="E30" s="36"/>
      <x:c r="F30" s="36"/>
      <x:c r="G30" s="91"/>
      <x:c r="H30" s="530" t="str">
        <x:f>IF($P30="","",INDEX('Candidate Data'!$B:$B,$P30))</x:f>
        <x:v>Suresh Iyer</x:v>
      </x:c>
      <x:c r="I30" s="538" t="str">
        <x:f>IF($P30="","",INDEX('Candidate Data'!$F:$F,$P30))</x:f>
        <x:v>Account Manager</x:v>
      </x:c>
      <x:c r="J30" s="542" t="str">
        <x:f>IF($P30="","",INDEX('Candidate Data'!$D:$D,$P30))</x:f>
        <x:v>Screening</x:v>
      </x:c>
      <x:c r="K30" s="542" t="n">
        <x:f>IF($P30="","",INDEX('Candidate Data'!$J:$J,$P30))</x:f>
        <x:v>9</x:v>
      </x:c>
      <x:c r="L30" s="542" t="str">
        <x:f>IF($P30="","",INDEX('Candidate Data'!$T:$T,$P30))</x:f>
        <x:v>High</x:v>
      </x:c>
      <x:c r="M30" s="538" t="str">
        <x:f>IF($P30="","",INDEX('Candidate Data'!$U:$U,$P30))</x:f>
        <x:v>Complete screening today</x:v>
      </x:c>
      <x:c r="N30" s="540"/>
      <x:c r="O30" s="44" t="n">
        <x:f>IFERROR(AGGREGATE(14,6,Calculations!$C$2:$C$31/(Calculations!$C$2:$C$31&gt;0),ROWS($O$28:O30)),"")</x:f>
        <x:v>309.0008</x:v>
      </x:c>
      <x:c r="P30" s="44" t="n">
        <x:f>IF(O30="","",MATCH(O30,Calculations!$C$2:$C$31,0)+1)</x:f>
        <x:v>8</x:v>
      </x:c>
    </x:row>
    <x:row r="31" ht="24" customHeight="1">
      <x:c r="A31" s="90"/>
      <x:c r="B31" s="36"/>
      <x:c r="C31" s="36"/>
      <x:c r="D31" s="36"/>
      <x:c r="E31" s="36"/>
      <x:c r="F31" s="36"/>
      <x:c r="G31" s="91"/>
      <x:c r="H31" s="550" t="str">
        <x:f>IF($P31="","",INDEX('Candidate Data'!$B:$B,$P31))</x:f>
        <x:v>Abhinav Kapoor</x:v>
      </x:c>
      <x:c r="I31" s="562" t="str">
        <x:f>IF($P31="","",INDEX('Candidate Data'!$F:$F,$P31))</x:f>
        <x:v>Financial Analyst</x:v>
      </x:c>
      <x:c r="J31" s="566" t="str">
        <x:f>IF($P31="","",INDEX('Candidate Data'!$D:$D,$P31))</x:f>
        <x:v>Offer</x:v>
      </x:c>
      <x:c r="K31" s="566" t="n">
        <x:f>IF($P31="","",INDEX('Candidate Data'!$J:$J,$P31))</x:f>
        <x:v>8</x:v>
      </x:c>
      <x:c r="L31" s="566" t="str">
        <x:f>IF($P31="","",INDEX('Candidate Data'!$T:$T,$P31))</x:f>
        <x:v>High</x:v>
      </x:c>
      <x:c r="M31" s="562" t="str">
        <x:f>IF($P31="","",INDEX('Candidate Data'!$U:$U,$P31))</x:f>
        <x:v>Follow up on offer today</x:v>
      </x:c>
      <x:c r="N31" s="564"/>
      <x:c r="O31" s="44" t="n">
        <x:f>IFERROR(AGGREGATE(14,6,Calculations!$C$2:$C$31/(Calculations!$C$2:$C$31&gt;0),ROWS($O$28:O31)),"")</x:f>
        <x:v>308.003</x:v>
      </x:c>
      <x:c r="P31" s="44" t="n">
        <x:f>IF(O31="","",MATCH(O31,Calculations!$C$2:$C$31,0)+1)</x:f>
        <x:v>30</x:v>
      </x:c>
    </x:row>
    <x:row r="32" ht="24" customHeight="1">
      <x:c r="A32" s="90"/>
      <x:c r="B32" s="36"/>
      <x:c r="C32" s="36"/>
      <x:c r="D32" s="36"/>
      <x:c r="E32" s="36"/>
      <x:c r="F32" s="36"/>
      <x:c r="G32" s="91"/>
      <x:c r="H32" s="530" t="str">
        <x:f>IF($P32="","",INDEX('Candidate Data'!$B:$B,$P32))</x:f>
        <x:v>Neha Patel</x:v>
      </x:c>
      <x:c r="I32" s="538" t="str">
        <x:f>IF($P32="","",INDEX('Candidate Data'!$F:$F,$P32))</x:f>
        <x:v>Sales Executive</x:v>
      </x:c>
      <x:c r="J32" s="542" t="str">
        <x:f>IF($P32="","",INDEX('Candidate Data'!$D:$D,$P32))</x:f>
        <x:v>Offer</x:v>
      </x:c>
      <x:c r="K32" s="542" t="n">
        <x:f>IF($P32="","",INDEX('Candidate Data'!$J:$J,$P32))</x:f>
        <x:v>7</x:v>
      </x:c>
      <x:c r="L32" s="542" t="str">
        <x:f>IF($P32="","",INDEX('Candidate Data'!$T:$T,$P32))</x:f>
        <x:v>High</x:v>
      </x:c>
      <x:c r="M32" s="538" t="str">
        <x:f>IF($P32="","",INDEX('Candidate Data'!$U:$U,$P32))</x:f>
        <x:v>Follow up on offer today</x:v>
      </x:c>
      <x:c r="N32" s="540"/>
      <x:c r="O32" s="44" t="n">
        <x:f>IFERROR(AGGREGATE(14,6,Calculations!$C$2:$C$31/(Calculations!$C$2:$C$31&gt;0),ROWS($O$28:O32)),"")</x:f>
        <x:v>307.0005</x:v>
      </x:c>
      <x:c r="P32" s="44" t="n">
        <x:f>IF(O32="","",MATCH(O32,Calculations!$C$2:$C$31,0)+1)</x:f>
        <x:v>5</x:v>
      </x:c>
    </x:row>
    <x:row r="33" ht="24" customHeight="1">
      <x:c r="A33" s="90"/>
      <x:c r="B33" s="36"/>
      <x:c r="C33" s="36"/>
      <x:c r="D33" s="36"/>
      <x:c r="E33" s="36"/>
      <x:c r="F33" s="36"/>
      <x:c r="G33" s="91"/>
      <x:c r="H33" s="550" t="str">
        <x:f>IF($P33="","",INDEX('Candidate Data'!$B:$B,$P33))</x:f>
        <x:v>Vikram Joshi</x:v>
      </x:c>
      <x:c r="I33" s="562" t="str">
        <x:f>IF($P33="","",INDEX('Candidate Data'!$F:$F,$P33))</x:f>
        <x:v>Talent Acquisition Specialist</x:v>
      </x:c>
      <x:c r="J33" s="566" t="str">
        <x:f>IF($P33="","",INDEX('Candidate Data'!$D:$D,$P33))</x:f>
        <x:v>Offer</x:v>
      </x:c>
      <x:c r="K33" s="566" t="n">
        <x:f>IF($P33="","",INDEX('Candidate Data'!$J:$J,$P33))</x:f>
        <x:v>6</x:v>
      </x:c>
      <x:c r="L33" s="566" t="str">
        <x:f>IF($P33="","",INDEX('Candidate Data'!$T:$T,$P33))</x:f>
        <x:v>High</x:v>
      </x:c>
      <x:c r="M33" s="562" t="str">
        <x:f>IF($P33="","",INDEX('Candidate Data'!$U:$U,$P33))</x:f>
        <x:v>Follow up on offer today</x:v>
      </x:c>
      <x:c r="N33" s="564"/>
      <x:c r="O33" s="44" t="n">
        <x:f>IFERROR(AGGREGATE(14,6,Calculations!$C$2:$C$31/(Calculations!$C$2:$C$31&gt;0),ROWS($O$28:O33)),"")</x:f>
        <x:v>306.001</x:v>
      </x:c>
      <x:c r="P33" s="44" t="n">
        <x:f>IF(O33="","",MATCH(O33,Calculations!$C$2:$C$31,0)+1)</x:f>
        <x:v>10</x:v>
      </x:c>
    </x:row>
    <x:row r="34" ht="24" customHeight="1">
      <x:c r="A34" s="90"/>
      <x:c r="B34" s="36"/>
      <x:c r="C34" s="36"/>
      <x:c r="D34" s="36"/>
      <x:c r="E34" s="36"/>
      <x:c r="F34" s="36"/>
      <x:c r="G34" s="91"/>
      <x:c r="H34" s="530" t="str">
        <x:f>IF($P34="","",INDEX('Candidate Data'!$B:$B,$P34))</x:f>
        <x:v>Ishita Kapoor</x:v>
      </x:c>
      <x:c r="I34" s="538" t="str">
        <x:f>IF($P34="","",INDEX('Candidate Data'!$F:$F,$P34))</x:f>
        <x:v>HR Coordinator</x:v>
      </x:c>
      <x:c r="J34" s="542" t="str">
        <x:f>IF($P34="","",INDEX('Candidate Data'!$D:$D,$P34))</x:f>
        <x:v>Offer</x:v>
      </x:c>
      <x:c r="K34" s="542" t="n">
        <x:f>IF($P34="","",INDEX('Candidate Data'!$J:$J,$P34))</x:f>
        <x:v>4</x:v>
      </x:c>
      <x:c r="L34" s="542" t="str">
        <x:f>IF($P34="","",INDEX('Candidate Data'!$T:$T,$P34))</x:f>
        <x:v>High</x:v>
      </x:c>
      <x:c r="M34" s="538" t="str">
        <x:f>IF($P34="","",INDEX('Candidate Data'!$U:$U,$P34))</x:f>
        <x:v>Follow up on offer today</x:v>
      </x:c>
      <x:c r="N34" s="540"/>
      <x:c r="O34" s="44" t="n">
        <x:f>IFERROR(AGGREGATE(14,6,Calculations!$C$2:$C$31/(Calculations!$C$2:$C$31&gt;0),ROWS($O$28:O34)),"")</x:f>
        <x:v>304.0025</x:v>
      </x:c>
      <x:c r="P34" s="44" t="n">
        <x:f>IF(O34="","",MATCH(O34,Calculations!$C$2:$C$31,0)+1)</x:f>
        <x:v>25</x:v>
      </x:c>
    </x:row>
    <x:row r="35" ht="24" customHeight="1">
      <x:c r="A35" s="90"/>
      <x:c r="B35" s="36"/>
      <x:c r="C35" s="36"/>
      <x:c r="D35" s="36"/>
      <x:c r="E35" s="36"/>
      <x:c r="F35" s="36"/>
      <x:c r="G35" s="91"/>
      <x:c r="H35" s="550" t="str">
        <x:f>IF($P35="","",INDEX('Candidate Data'!$B:$B,$P35))</x:f>
        <x:v>Rahul Verma</x:v>
      </x:c>
      <x:c r="I35" s="562" t="str">
        <x:f>IF($P35="","",INDEX('Candidate Data'!$F:$F,$P35))</x:f>
        <x:v>Senior Accountant</x:v>
      </x:c>
      <x:c r="J35" s="566" t="str">
        <x:f>IF($P35="","",INDEX('Candidate Data'!$D:$D,$P35))</x:f>
        <x:v>Applied</x:v>
      </x:c>
      <x:c r="K35" s="566" t="n">
        <x:f>IF($P35="","",INDEX('Candidate Data'!$J:$J,$P35))</x:f>
        <x:v>11</x:v>
      </x:c>
      <x:c r="L35" s="566" t="str">
        <x:f>IF($P35="","",INDEX('Candidate Data'!$T:$T,$P35))</x:f>
        <x:v>Medium</x:v>
      </x:c>
      <x:c r="M35" s="562" t="str">
        <x:f>IF($P35="","",INDEX('Candidate Data'!$U:$U,$P35))</x:f>
        <x:v>Review profile today</x:v>
      </x:c>
      <x:c r="N35" s="564"/>
      <x:c r="O35" s="44" t="n">
        <x:f>IFERROR(AGGREGATE(14,6,Calculations!$C$2:$C$31/(Calculations!$C$2:$C$31&gt;0),ROWS($O$28:O35)),"")</x:f>
        <x:v>211.0012</x:v>
      </x:c>
      <x:c r="P35" s="44" t="n">
        <x:f>IF(O35="","",MATCH(O35,Calculations!$C$2:$C$31,0)+1)</x:f>
        <x:v>12</x:v>
      </x:c>
    </x:row>
    <x:row r="36" ht="22" customHeight="1">
      <x:c r="A36" s="90"/>
      <x:c r="B36" s="36"/>
      <x:c r="C36" s="36"/>
      <x:c r="D36" s="36"/>
      <x:c r="E36" s="36"/>
      <x:c r="F36" s="36"/>
      <x:c r="G36" s="91"/>
      <x:c r="H36" s="589" t="str">
        <x:v>Priority = High risk first, then Medium risk, sorted by longest time in stage.</x:v>
      </x:c>
      <x:c r="I36" s="590"/>
      <x:c r="J36" s="590"/>
      <x:c r="K36" s="590"/>
      <x:c r="L36" s="590"/>
      <x:c r="M36" s="590"/>
      <x:c r="N36" s="591"/>
      <x:c r="O36" s="44"/>
      <x:c r="P36" s="44"/>
    </x:row>
    <x:row r="37" ht="18" customHeight="1">
      <x:c r="A37" s="90"/>
      <x:c r="B37" s="36"/>
      <x:c r="C37" s="36"/>
      <x:c r="D37" s="36"/>
      <x:c r="E37" s="36"/>
      <x:c r="F37" s="36"/>
      <x:c r="G37" s="91"/>
      <x:c r="H37" s="589"/>
      <x:c r="I37" s="590"/>
      <x:c r="J37" s="590"/>
      <x:c r="K37" s="590"/>
      <x:c r="L37" s="590"/>
      <x:c r="M37" s="590"/>
      <x:c r="N37" s="591"/>
      <x:c r="O37" s="44"/>
      <x:c r="P37" s="44"/>
    </x:row>
    <x:row r="38" ht="18" customHeight="1">
      <x:c r="A38" s="92"/>
      <x:c r="B38" s="313"/>
      <x:c r="C38" s="313"/>
      <x:c r="D38" s="313"/>
      <x:c r="E38" s="313"/>
      <x:c r="F38" s="313"/>
      <x:c r="G38" s="93"/>
      <x:c r="H38" s="592"/>
      <x:c r="I38" s="593"/>
      <x:c r="J38" s="593"/>
      <x:c r="K38" s="593"/>
      <x:c r="L38" s="593"/>
      <x:c r="M38" s="593"/>
      <x:c r="N38" s="594"/>
      <x:c r="O38" s="44"/>
      <x:c r="P38" s="44"/>
    </x:row>
    <x:row r="39" ht="1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</x:row>
    <x:row r="40" ht="24" customHeight="1">
      <x:c r="A40" s="325" t="str">
        <x:v>SOURCE PERFORMANCE</x:v>
      </x:c>
      <x:c r="B40" s="326"/>
      <x:c r="C40" s="326"/>
      <x:c r="D40" s="326"/>
      <x:c r="E40" s="326"/>
      <x:c r="F40" s="326"/>
      <x:c r="G40" s="327"/>
      <x:c r="H40" s="325" t="str">
        <x:v>LOCATION PERFORMANCE</x:v>
      </x:c>
      <x:c r="I40" s="326"/>
      <x:c r="J40" s="326"/>
      <x:c r="K40" s="326"/>
      <x:c r="L40" s="326"/>
      <x:c r="M40" s="326"/>
      <x:c r="N40" s="327"/>
      <x:c r="O40" s="44"/>
      <x:c r="P40" s="44"/>
    </x:row>
    <x:row r="41" ht="22" customHeight="1">
      <x:c r="A41" s="625" t="str">
        <x:v>Source</x:v>
      </x:c>
      <x:c r="B41" s="526"/>
      <x:c r="C41" s="526"/>
      <x:c r="D41" s="526" t="str">
        <x:v>Candidates</x:v>
      </x:c>
      <x:c r="E41" s="526" t="str">
        <x:v>Hired</x:v>
      </x:c>
      <x:c r="F41" s="526" t="str">
        <x:v>Rejected</x:v>
      </x:c>
      <x:c r="G41" s="626" t="str">
        <x:v>Hire Rate</x:v>
      </x:c>
      <x:c r="H41" s="625" t="str">
        <x:v>Location</x:v>
      </x:c>
      <x:c r="I41" s="526"/>
      <x:c r="J41" s="526" t="str">
        <x:v>Candidates</x:v>
      </x:c>
      <x:c r="K41" s="526" t="str">
        <x:v>Hired</x:v>
      </x:c>
      <x:c r="L41" s="526" t="str">
        <x:v>Rejected</x:v>
      </x:c>
      <x:c r="M41" s="526" t="str">
        <x:v>Hire Share</x:v>
      </x:c>
      <x:c r="N41" s="626" t="str">
        <x:v>Reject Share</x:v>
      </x:c>
      <x:c r="O41" s="44"/>
      <x:c r="P41" s="44"/>
    </x:row>
    <x:row r="42" ht="23" customHeight="1">
      <x:c r="A42" s="530" t="str">
        <x:f>Calculations!AF2</x:f>
        <x:v>LinkedIn</x:v>
      </x:c>
      <x:c r="B42" s="531"/>
      <x:c r="C42" s="531"/>
      <x:c r="D42" s="542" t="n">
        <x:f>Calculations!AG2</x:f>
        <x:v>6</x:v>
      </x:c>
      <x:c r="E42" s="542" t="n">
        <x:f>Calculations!AH2</x:f>
        <x:v>0</x:v>
      </x:c>
      <x:c r="F42" s="542" t="n">
        <x:f>Calculations!AI2</x:f>
        <x:v>0</x:v>
      </x:c>
      <x:c r="G42" s="634" t="n">
        <x:f>Calculations!AJ2</x:f>
        <x:v>0</x:v>
      </x:c>
      <x:c r="H42" s="530" t="str">
        <x:f>Calculations!Y2</x:f>
        <x:v>Delhi</x:v>
      </x:c>
      <x:c r="I42" s="531"/>
      <x:c r="J42" s="542" t="n">
        <x:f>Calculations!Z2</x:f>
        <x:v>5</x:v>
      </x:c>
      <x:c r="K42" s="542" t="n">
        <x:f>Calculations!AA2</x:f>
        <x:v>0</x:v>
      </x:c>
      <x:c r="L42" s="542" t="n">
        <x:f>Calculations!AB2</x:f>
        <x:v>0</x:v>
      </x:c>
      <x:c r="M42" s="676" t="n">
        <x:f>Calculations!AC2</x:f>
        <x:v>0</x:v>
      </x:c>
      <x:c r="N42" s="634" t="n">
        <x:f>Calculations!AD2</x:f>
        <x:v>0</x:v>
      </x:c>
      <x:c r="O42" s="44"/>
      <x:c r="P42" s="44"/>
    </x:row>
    <x:row r="43" ht="23" customHeight="1">
      <x:c r="A43" s="550" t="str">
        <x:f>Calculations!AF3</x:f>
        <x:v>Referral</x:v>
      </x:c>
      <x:c r="B43" s="551"/>
      <x:c r="C43" s="551"/>
      <x:c r="D43" s="566" t="n">
        <x:f>Calculations!AG3</x:f>
        <x:v>5</x:v>
      </x:c>
      <x:c r="E43" s="566" t="n">
        <x:f>Calculations!AH3</x:f>
        <x:v>0</x:v>
      </x:c>
      <x:c r="F43" s="566" t="n">
        <x:f>Calculations!AI3</x:f>
        <x:v>0</x:v>
      </x:c>
      <x:c r="G43" s="638" t="n">
        <x:f>Calculations!AJ3</x:f>
        <x:v>0</x:v>
      </x:c>
      <x:c r="H43" s="550" t="str">
        <x:f>Calculations!Y3</x:f>
        <x:v>Mumbai</x:v>
      </x:c>
      <x:c r="I43" s="551"/>
      <x:c r="J43" s="566" t="n">
        <x:f>Calculations!Z3</x:f>
        <x:v>5</x:v>
      </x:c>
      <x:c r="K43" s="566" t="n">
        <x:f>Calculations!AA3</x:f>
        <x:v>0</x:v>
      </x:c>
      <x:c r="L43" s="566" t="n">
        <x:f>Calculations!AB3</x:f>
        <x:v>0</x:v>
      </x:c>
      <x:c r="M43" s="678" t="n">
        <x:f>Calculations!AC3</x:f>
        <x:v>0</x:v>
      </x:c>
      <x:c r="N43" s="638" t="n">
        <x:f>Calculations!AD3</x:f>
        <x:v>0</x:v>
      </x:c>
      <x:c r="O43" s="44"/>
      <x:c r="P43" s="44"/>
    </x:row>
    <x:row r="44" ht="23" customHeight="1">
      <x:c r="A44" s="530" t="str">
        <x:f>Calculations!AF4</x:f>
        <x:v>Careers Page</x:v>
      </x:c>
      <x:c r="B44" s="531"/>
      <x:c r="C44" s="531"/>
      <x:c r="D44" s="542" t="n">
        <x:f>Calculations!AG4</x:f>
        <x:v>6</x:v>
      </x:c>
      <x:c r="E44" s="542" t="n">
        <x:f>Calculations!AH4</x:f>
        <x:v>0</x:v>
      </x:c>
      <x:c r="F44" s="542" t="n">
        <x:f>Calculations!AI4</x:f>
        <x:v>1</x:v>
      </x:c>
      <x:c r="G44" s="634" t="n">
        <x:f>Calculations!AJ4</x:f>
        <x:v>0</x:v>
      </x:c>
      <x:c r="H44" s="530" t="str">
        <x:f>Calculations!Y4</x:f>
        <x:v>Hyderabad</x:v>
      </x:c>
      <x:c r="I44" s="531"/>
      <x:c r="J44" s="542" t="n">
        <x:f>Calculations!Z4</x:f>
        <x:v>5</x:v>
      </x:c>
      <x:c r="K44" s="542" t="n">
        <x:f>Calculations!AA4</x:f>
        <x:v>0</x:v>
      </x:c>
      <x:c r="L44" s="542" t="n">
        <x:f>Calculations!AB4</x:f>
        <x:v>2</x:v>
      </x:c>
      <x:c r="M44" s="676" t="n">
        <x:f>Calculations!AC4</x:f>
        <x:v>0</x:v>
      </x:c>
      <x:c r="N44" s="634" t="n">
        <x:f>Calculations!AD4</x:f>
        <x:v>0.4</x:v>
      </x:c>
      <x:c r="O44" s="44"/>
      <x:c r="P44" s="44"/>
    </x:row>
    <x:row r="45" ht="23" customHeight="1">
      <x:c r="A45" s="550" t="str">
        <x:f>Calculations!AF5</x:f>
        <x:v>Naukri</x:v>
      </x:c>
      <x:c r="B45" s="551"/>
      <x:c r="C45" s="551"/>
      <x:c r="D45" s="566" t="n">
        <x:f>Calculations!AG5</x:f>
        <x:v>8</x:v>
      </x:c>
      <x:c r="E45" s="566" t="n">
        <x:f>Calculations!AH5</x:f>
        <x:v>3</x:v>
      </x:c>
      <x:c r="F45" s="566" t="n">
        <x:f>Calculations!AI5</x:f>
        <x:v>0</x:v>
      </x:c>
      <x:c r="G45" s="638" t="n">
        <x:f>Calculations!AJ5</x:f>
        <x:v>0.375</x:v>
      </x:c>
      <x:c r="H45" s="550" t="str">
        <x:f>Calculations!Y5</x:f>
        <x:v>Bangalore</x:v>
      </x:c>
      <x:c r="I45" s="551"/>
      <x:c r="J45" s="566" t="n">
        <x:f>Calculations!Z5</x:f>
        <x:v>4</x:v>
      </x:c>
      <x:c r="K45" s="566" t="n">
        <x:f>Calculations!AA5</x:f>
        <x:v>0</x:v>
      </x:c>
      <x:c r="L45" s="566" t="n">
        <x:f>Calculations!AB5</x:f>
        <x:v>1</x:v>
      </x:c>
      <x:c r="M45" s="678" t="n">
        <x:f>Calculations!AC5</x:f>
        <x:v>0</x:v>
      </x:c>
      <x:c r="N45" s="638" t="n">
        <x:f>Calculations!AD5</x:f>
        <x:v>0.25</x:v>
      </x:c>
      <x:c r="O45" s="44"/>
      <x:c r="P45" s="44"/>
    </x:row>
    <x:row r="46" ht="23" customHeight="1">
      <x:c r="A46" s="530" t="str">
        <x:f>Calculations!AF6</x:f>
        <x:v>Indeed</x:v>
      </x:c>
      <x:c r="B46" s="531"/>
      <x:c r="C46" s="531"/>
      <x:c r="D46" s="542" t="n">
        <x:f>Calculations!AG6</x:f>
        <x:v>5</x:v>
      </x:c>
      <x:c r="E46" s="542" t="n">
        <x:f>Calculations!AH6</x:f>
        <x:v>1</x:v>
      </x:c>
      <x:c r="F46" s="542" t="n">
        <x:f>Calculations!AI6</x:f>
        <x:v>2</x:v>
      </x:c>
      <x:c r="G46" s="634" t="n">
        <x:f>Calculations!AJ6</x:f>
        <x:v>0.2</x:v>
      </x:c>
      <x:c r="H46" s="530" t="str">
        <x:f>Calculations!Y6</x:f>
        <x:v>Chennai</x:v>
      </x:c>
      <x:c r="I46" s="531"/>
      <x:c r="J46" s="542" t="n">
        <x:f>Calculations!Z6</x:f>
        <x:v>4</x:v>
      </x:c>
      <x:c r="K46" s="542" t="n">
        <x:f>Calculations!AA6</x:f>
        <x:v>1</x:v>
      </x:c>
      <x:c r="L46" s="542" t="n">
        <x:f>Calculations!AB6</x:f>
        <x:v>0</x:v>
      </x:c>
      <x:c r="M46" s="676" t="n">
        <x:f>Calculations!AC6</x:f>
        <x:v>0.25</x:v>
      </x:c>
      <x:c r="N46" s="634" t="n">
        <x:f>Calculations!AD6</x:f>
        <x:v>0</x:v>
      </x:c>
      <x:c r="O46" s="44"/>
      <x:c r="P46" s="44"/>
    </x:row>
    <x:row r="47" ht="23" customHeight="1">
      <x:c r="A47" s="90"/>
      <x:c r="B47" s="36"/>
      <x:c r="C47" s="36"/>
      <x:c r="D47" s="36"/>
      <x:c r="E47" s="36"/>
      <x:c r="F47" s="36"/>
      <x:c r="G47" s="91"/>
      <x:c r="H47" s="550" t="str">
        <x:f>Calculations!Y7</x:f>
        <x:v>Pune</x:v>
      </x:c>
      <x:c r="I47" s="551"/>
      <x:c r="J47" s="566" t="n">
        <x:f>Calculations!Z7</x:f>
        <x:v>4</x:v>
      </x:c>
      <x:c r="K47" s="566" t="n">
        <x:f>Calculations!AA7</x:f>
        <x:v>1</x:v>
      </x:c>
      <x:c r="L47" s="566" t="n">
        <x:f>Calculations!AB7</x:f>
        <x:v>0</x:v>
      </x:c>
      <x:c r="M47" s="678" t="n">
        <x:f>Calculations!AC7</x:f>
        <x:v>0.25</x:v>
      </x:c>
      <x:c r="N47" s="638" t="n">
        <x:f>Calculations!AD7</x:f>
        <x:v>0</x:v>
      </x:c>
      <x:c r="O47" s="44"/>
      <x:c r="P47" s="44"/>
    </x:row>
    <x:row r="48" ht="23" customHeight="1">
      <x:c r="A48" s="649" t="str">
        <x:f>IF(Calculations!$AN$6=0,"No source conversion data is visible.","Best source: "&amp;Calculations!$AM$6&amp;" with "&amp;TEXT(Calculations!$AN$6,"0.0%")&amp;" hire rate.")</x:f>
        <x:v>Best source: Naukri with 37.5% hire rate.</x:v>
      </x:c>
      <x:c r="B48" s="650"/>
      <x:c r="C48" s="650"/>
      <x:c r="D48" s="650"/>
      <x:c r="E48" s="650"/>
      <x:c r="F48" s="650"/>
      <x:c r="G48" s="651"/>
      <x:c r="H48" s="530" t="str">
        <x:f>Calculations!Y8</x:f>
        <x:v>Kolkata</x:v>
      </x:c>
      <x:c r="I48" s="531"/>
      <x:c r="J48" s="542" t="n">
        <x:f>Calculations!Z8</x:f>
        <x:v>3</x:v>
      </x:c>
      <x:c r="K48" s="542" t="n">
        <x:f>Calculations!AA8</x:f>
        <x:v>2</x:v>
      </x:c>
      <x:c r="L48" s="542" t="n">
        <x:f>Calculations!AB8</x:f>
        <x:v>0</x:v>
      </x:c>
      <x:c r="M48" s="676" t="n">
        <x:f>Calculations!AC8</x:f>
        <x:v>0.6666666666666666</x:v>
      </x:c>
      <x:c r="N48" s="634" t="n">
        <x:f>Calculations!AD8</x:f>
        <x:v>0</x:v>
      </x:c>
      <x:c r="O48" s="44"/>
      <x:c r="P48" s="44"/>
    </x:row>
    <x:row r="49" ht="23" customHeight="1">
      <x:c r="A49" s="649"/>
      <x:c r="B49" s="650"/>
      <x:c r="C49" s="650"/>
      <x:c r="D49" s="650"/>
      <x:c r="E49" s="650"/>
      <x:c r="F49" s="650"/>
      <x:c r="G49" s="651"/>
      <x:c r="H49" s="695" t="str">
        <x:f>IF(Calculations!$AN$5=0,"No rejection concentration is visible in the selected view.",Calculations!$AM$5&amp;" currently has the most rejections. Review sourcing, screening and interview feedback.")</x:f>
        <x:v>Hyderabad currently has the most rejections. Review sourcing, screening and interview feedback.</x:v>
      </x:c>
      <x:c r="I49" s="696"/>
      <x:c r="J49" s="696"/>
      <x:c r="K49" s="696"/>
      <x:c r="L49" s="696"/>
      <x:c r="M49" s="696"/>
      <x:c r="N49" s="697"/>
      <x:c r="O49" s="44"/>
      <x:c r="P49" s="44"/>
    </x:row>
    <x:row r="50" ht="23" customHeight="1">
      <x:c r="A50" s="664" t="str">
        <x:v>Add source cost later to calculate cost per hire and recruitment ROI.</x:v>
      </x:c>
      <x:c r="B50" s="665"/>
      <x:c r="C50" s="665"/>
      <x:c r="D50" s="665"/>
      <x:c r="E50" s="665"/>
      <x:c r="F50" s="665"/>
      <x:c r="G50" s="666"/>
      <x:c r="H50" s="695"/>
      <x:c r="I50" s="696"/>
      <x:c r="J50" s="696"/>
      <x:c r="K50" s="696"/>
      <x:c r="L50" s="696"/>
      <x:c r="M50" s="696"/>
      <x:c r="N50" s="697"/>
      <x:c r="O50" s="44"/>
      <x:c r="P50" s="44"/>
    </x:row>
    <x:row r="51" ht="23" customHeight="1">
      <x:c r="A51" s="667"/>
      <x:c r="B51" s="668"/>
      <x:c r="C51" s="668"/>
      <x:c r="D51" s="668"/>
      <x:c r="E51" s="668"/>
      <x:c r="F51" s="668"/>
      <x:c r="G51" s="669"/>
      <x:c r="H51" s="698"/>
      <x:c r="I51" s="699"/>
      <x:c r="J51" s="699"/>
      <x:c r="K51" s="699"/>
      <x:c r="L51" s="699"/>
      <x:c r="M51" s="699"/>
      <x:c r="N51" s="700"/>
      <x:c r="O51" s="44"/>
      <x:c r="P51" s="44"/>
    </x:row>
    <x:row r="52" ht="18" customHeight="1">
      <x:c r="A52" s="724" t="str">
        <x:v>AI scores are demo values. Dashboard insights are transparent Excel rules and update automatically with the filter dropdowns.</x:v>
      </x:c>
      <x:c r="B52" s="724"/>
      <x:c r="C52" s="724"/>
      <x:c r="D52" s="724"/>
      <x:c r="E52" s="724"/>
      <x:c r="F52" s="724"/>
      <x:c r="G52" s="724"/>
      <x:c r="H52" s="724"/>
      <x:c r="I52" s="724"/>
      <x:c r="J52" s="724"/>
      <x:c r="K52" s="724"/>
      <x:c r="L52" s="724"/>
      <x:c r="M52" s="724"/>
      <x:c r="N52" s="724"/>
      <x:c r="O52" s="44"/>
      <x:c r="P52" s="44"/>
    </x:row>
  </x:sheetData>
  <x:mergeCells>
    <x:mergeCell ref="A1:N2"/>
    <x:mergeCell ref="A3:N3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K4:L4"/>
    <x:mergeCell ref="K5:L5"/>
    <x:mergeCell ref="M4:N5"/>
    <x:mergeCell ref="A7:B7"/>
    <x:mergeCell ref="A8:B9"/>
    <x:mergeCell ref="A10:B10"/>
    <x:mergeCell ref="C7:D7"/>
    <x:mergeCell ref="C8:D9"/>
    <x:mergeCell ref="C10:D10"/>
    <x:mergeCell ref="E7:F7"/>
    <x:mergeCell ref="E8:F9"/>
    <x:mergeCell ref="E10:F10"/>
    <x:mergeCell ref="G7:H7"/>
    <x:mergeCell ref="G8:H9"/>
    <x:mergeCell ref="G10:H10"/>
    <x:mergeCell ref="I7:J7"/>
    <x:mergeCell ref="I8:J9"/>
    <x:mergeCell ref="I10:J10"/>
    <x:mergeCell ref="K7:L7"/>
    <x:mergeCell ref="K8:L9"/>
    <x:mergeCell ref="K10:L10"/>
    <x:mergeCell ref="M7:N7"/>
    <x:mergeCell ref="M8:N9"/>
    <x:mergeCell ref="M10:N10"/>
    <x:mergeCell ref="H12:N12"/>
    <x:mergeCell ref="H13:N13"/>
    <x:mergeCell ref="H14:N16"/>
    <x:mergeCell ref="H17:N19"/>
    <x:mergeCell ref="H20:N22"/>
    <x:mergeCell ref="H23:N24"/>
    <x:mergeCell ref="H26:N26"/>
    <x:mergeCell ref="M27:N27"/>
    <x:mergeCell ref="M28:N28"/>
    <x:mergeCell ref="M29:N29"/>
    <x:mergeCell ref="M30:N30"/>
    <x:mergeCell ref="M31:N31"/>
    <x:mergeCell ref="M32:N32"/>
    <x:mergeCell ref="M33:N33"/>
    <x:mergeCell ref="M34:N34"/>
    <x:mergeCell ref="M35:N35"/>
    <x:mergeCell ref="H36:N38"/>
    <x:mergeCell ref="A40:G40"/>
    <x:mergeCell ref="A41:C41"/>
    <x:mergeCell ref="A42:C42"/>
    <x:mergeCell ref="A43:C43"/>
    <x:mergeCell ref="A44:C44"/>
    <x:mergeCell ref="A45:C45"/>
    <x:mergeCell ref="A46:C46"/>
    <x:mergeCell ref="A48:G49"/>
    <x:mergeCell ref="A50:G51"/>
    <x:mergeCell ref="H40:N40"/>
    <x:mergeCell ref="H41:I41"/>
    <x:mergeCell ref="H42:I42"/>
    <x:mergeCell ref="H43:I43"/>
    <x:mergeCell ref="H44:I44"/>
    <x:mergeCell ref="H45:I45"/>
    <x:mergeCell ref="H46:I46"/>
    <x:mergeCell ref="H47:I47"/>
    <x:mergeCell ref="H48:I48"/>
    <x:mergeCell ref="H49:N51"/>
    <x:mergeCell ref="A52:N52"/>
  </x:mergeCells>
  <x:conditionalFormatting sqref="L28:L35">
    <x:cfRule type="expression" dxfId="12" priority="1">
      <x:formula>L28="High"</x:formula>
    </x:cfRule>
    <x:cfRule type="expression" dxfId="13" priority="2">
      <x:formula>L28="Medium"</x:formula>
    </x:cfRule>
  </x:conditionalFormatting>
  <x:conditionalFormatting sqref="K28:K35">
    <x:cfRule type="expression" dxfId="14" priority="3">
      <x:formula>K28&gt;7</x:formula>
    </x:cfRule>
  </x:conditionalFormatting>
  <x:conditionalFormatting sqref="D42:D46">
    <x:cfRule type="dataBar" priority="4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conditionalFormatting sqref="G42:G46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42:N48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6">
    <x:dataValidation type="list" sqref="A5">
      <x:formula1>Lists!$F$2:$F$5</x:formula1>
    </x:dataValidation>
    <x:dataValidation type="list" sqref="C5">
      <x:formula1>Lists!$A$2:$A$6</x:formula1>
    </x:dataValidation>
    <x:dataValidation type="list" sqref="E5">
      <x:formula1>Lists!$B$2:$B$32</x:formula1>
    </x:dataValidation>
    <x:dataValidation type="list" sqref="G5">
      <x:formula1>Lists!$C$2:$C$6</x:formula1>
    </x:dataValidation>
    <x:dataValidation type="list" sqref="I5">
      <x:formula1>Lists!$D$2:$D$9</x:formula1>
    </x:dataValidation>
    <x:dataValidation type="list" sqref="K5">
      <x:formula1>Lists!$E$2:$E$8</x:formula1>
    </x:dataValidation>
  </x:dataValidations>
  <x:pageMargins left="0.7" right="0.7" top="0.75" bottom="0.75" header="0.3" footer="0.3"/>
  <x:drawing xmlns:r="http://schemas.openxmlformats.org/officeDocument/2006/relationships" r:id="Rdd923b44639247f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C5593AA7-0028-5BEA-E3E0-8178783C1A47}">
            <x14:dataBar gradient="1">
              <x14:cfvo type="min"/>
              <x14:cfvo type="max"/>
              <x14:fillColor rgb="FF3B82F6"/>
            </x14:dataBar>
          </x14:cfRule>
          <xm:sqref>D42:D46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25" hidden="0" customWidth="1"/>
    <x:col min="7" max="7" width="18" hidden="0" customWidth="1"/>
    <x:col min="8" max="8" width="15" hidden="0" customWidth="1"/>
    <x:col min="9" max="9" width="17" hidden="0" customWidth="1"/>
    <x:col min="10" max="10" width="13" hidden="0" customWidth="1"/>
    <x:col min="11" max="11" width="18" hidden="0" customWidth="1"/>
    <x:col min="12" max="12" width="14" hidden="0" customWidth="1"/>
    <x:col min="13" max="13" width="17" hidden="0" customWidth="1"/>
    <x:col min="14" max="14" width="14" hidden="0" customWidth="1"/>
    <x:col min="15" max="15" width="24" hidden="0" customWidth="1"/>
    <x:col min="16" max="16" width="15" hidden="0" customWidth="1"/>
    <x:col min="17" max="17" width="15" hidden="0" customWidth="1"/>
    <x:col min="18" max="18" width="14" hidden="0" customWidth="1"/>
    <x:col min="19" max="19" width="18" hidden="0" customWidth="1"/>
    <x:col min="20" max="20" width="14" hidden="0" customWidth="1"/>
    <x:col min="21" max="21" width="30" hidden="0" customWidth="1"/>
  </x:cols>
  <x:sheetData>
    <x:row r="1" ht="30" customHeight="1">
      <x:c r="A1" s="6" t="str">
        <x:v>Candidate ID</x:v>
      </x:c>
      <x:c r="B1" s="6" t="str">
        <x:v>Candidate Name</x:v>
      </x:c>
      <x:c r="C1" s="6" t="str">
        <x:v>Department</x:v>
      </x:c>
      <x:c r="D1" s="6" t="str">
        <x:v>Current Stage</x:v>
      </x:c>
      <x:c r="E1" s="6" t="str">
        <x:v>Location</x:v>
      </x:c>
      <x:c r="F1" s="6" t="str">
        <x:v>Job Role</x:v>
      </x:c>
      <x:c r="G1" s="6" t="str">
        <x:v>Recruiter</x:v>
      </x:c>
      <x:c r="H1" s="6" t="str">
        <x:v>Applied Date</x:v>
      </x:c>
      <x:c r="I1" s="6" t="str">
        <x:v>Stage Updated Date</x:v>
      </x:c>
      <x:c r="J1" s="6" t="str">
        <x:v>Stage Age (Days)</x:v>
      </x:c>
      <x:c r="K1" s="6" t="str">
        <x:v>Application Source</x:v>
      </x:c>
      <x:c r="L1" s="6" t="str">
        <x:v>Experience (Years)</x:v>
      </x:c>
      <x:c r="M1" s="6" t="str">
        <x:v>Notice Period (Days)</x:v>
      </x:c>
      <x:c r="N1" s="6" t="str">
        <x:v>Interview Score</x:v>
      </x:c>
      <x:c r="O1" s="6" t="str">
        <x:v>Rejection Reason</x:v>
      </x:c>
      <x:c r="P1" s="6" t="str">
        <x:v>Offer Date</x:v>
      </x:c>
      <x:c r="Q1" s="6" t="str">
        <x:v>Joining Date</x:v>
      </x:c>
      <x:c r="R1" s="6" t="str">
        <x:v>AI Match Score</x:v>
      </x:c>
      <x:c r="S1" s="6" t="str">
        <x:v>AI Recommendation</x:v>
      </x:c>
      <x:c r="T1" s="6" t="str">
        <x:v>Dropout Risk</x:v>
      </x:c>
      <x:c r="U1" s="6" t="str">
        <x:v>Next Best Action</x:v>
      </x:c>
    </x:row>
    <x:row r="2" ht="22" customHeight="1">
      <x:c r="A2" s="13" t="n">
        <x:v>1</x:v>
      </x:c>
      <x:c r="B2" s="13" t="str">
        <x:v>Amit Sharma</x:v>
      </x:c>
      <x:c r="C2" s="13" t="str">
        <x:v>HR</x:v>
      </x:c>
      <x:c r="D2" s="13" t="str">
        <x:v>Applied</x:v>
      </x:c>
      <x:c r="E2" s="13" t="str">
        <x:v>Delhi</x:v>
      </x:c>
      <x:c r="F2" s="22" t="str">
        <x:v>HR Analyst</x:v>
      </x:c>
      <x:c r="G2" s="13" t="str">
        <x:v>Aisha Khan</x:v>
      </x:c>
      <x:c r="H2" s="16" t="n">
        <x:v>46220</x:v>
      </x:c>
      <x:c r="I2" s="16" t="n">
        <x:v>46222</x:v>
      </x:c>
      <x:c r="J2" s="18" t="n">
        <x:f>MAX(0,TODAY()-I2)</x:f>
        <x:v>8</x:v>
      </x:c>
      <x:c r="K2" s="13" t="str">
        <x:v>Referral</x:v>
      </x:c>
      <x:c r="L2" s="20" t="n">
        <x:v>2</x:v>
      </x:c>
      <x:c r="M2" s="18" t="n">
        <x:v>30</x:v>
      </x:c>
      <x:c r="N2" s="20"/>
      <x:c r="O2" s="22"/>
      <x:c r="P2" s="16"/>
      <x:c r="Q2" s="16"/>
      <x:c r="R2" s="18" t="n">
        <x:v>82</x:v>
      </x:c>
      <x:c r="S2" s="13" t="str">
        <x:f>IF(R2&gt;=80,"Strong Fit",IF(R2&gt;=60,"Review","Low Match"))</x:f>
        <x:v>Strong Fit</x:v>
      </x:c>
      <x:c r="T2" s="13" t="str">
        <x:f>IF(OR(D2="Hired",D2="Rejected"),"Closed",IF(OR(AND(D2="Offer",J2&gt;5),AND(M2&gt;=90,D2&lt;&gt;"Applied")),"High",IF(OR(J2&gt;7,M2&gt;=60),"Medium","Low")))</x:f>
        <x:v>Medium</x:v>
      </x:c>
      <x:c r="U2" s="22" t="str">
        <x:f>IF(D2="Hired","Complete onboarding",IF(D2="Rejected","Close record &amp; capture feedback",IF(AND(D2="Offer",J2&gt;3),"Follow up on offer today",IF(D2="Offer","Track offer acceptance",IF(AND(D2="Interview",J2&gt;5),"Collect interview feedback",IF(D2="Interview","Schedule next round",IF(AND(D2="Screening",J2&gt;5),"Complete screening today",IF(D2="Screening","Screen candidate",IF(AND(D2="Applied",J2&gt;3),"Review profile today","Review profile")))))))))</x:f>
        <x:v>Review profile today</x:v>
      </x:c>
    </x:row>
    <x:row r="3" ht="22" customHeight="1">
      <x:c r="A3" s="13" t="n">
        <x:v>2</x:v>
      </x:c>
      <x:c r="B3" s="13" t="str">
        <x:v>Priya Singh</x:v>
      </x:c>
      <x:c r="C3" s="13" t="str">
        <x:v>Finance</x:v>
      </x:c>
      <x:c r="D3" s="13" t="str">
        <x:v>Screening</x:v>
      </x:c>
      <x:c r="E3" s="13" t="str">
        <x:v>Mumbai</x:v>
      </x:c>
      <x:c r="F3" s="22" t="str">
        <x:v>Finance Analyst</x:v>
      </x:c>
      <x:c r="G3" s="13" t="str">
        <x:v>Aisha Khan</x:v>
      </x:c>
      <x:c r="H3" s="16" t="n">
        <x:v>46217</x:v>
      </x:c>
      <x:c r="I3" s="16" t="n">
        <x:v>46224</x:v>
      </x:c>
      <x:c r="J3" s="18" t="n">
        <x:f>MAX(0,TODAY()-I3)</x:f>
        <x:v>6</x:v>
      </x:c>
      <x:c r="K3" s="13" t="str">
        <x:v>Careers Page</x:v>
      </x:c>
      <x:c r="L3" s="20" t="n">
        <x:v>3.5</x:v>
      </x:c>
      <x:c r="M3" s="18" t="n">
        <x:v>45</x:v>
      </x:c>
      <x:c r="N3" s="20"/>
      <x:c r="O3" s="22"/>
      <x:c r="P3" s="16"/>
      <x:c r="Q3" s="16"/>
      <x:c r="R3" s="18" t="n">
        <x:v>74</x:v>
      </x:c>
      <x:c r="S3" s="13" t="str">
        <x:f>IF(R3&gt;=80,"Strong Fit",IF(R3&gt;=60,"Review","Low Match"))</x:f>
        <x:v>Review</x:v>
      </x:c>
      <x:c r="T3" s="13" t="str">
        <x:f>IF(OR(D3="Hired",D3="Rejected"),"Closed",IF(OR(AND(D3="Offer",J3&gt;5),AND(M3&gt;=90,D3&lt;&gt;"Applied")),"High",IF(OR(J3&gt;7,M3&gt;=60),"Medium","Low")))</x:f>
        <x:v>Low</x:v>
      </x:c>
      <x:c r="U3" s="22" t="str">
        <x:f>IF(D3="Hired","Complete onboarding",IF(D3="Rejected","Close record &amp; capture feedback",IF(AND(D3="Offer",J3&gt;3),"Follow up on offer today",IF(D3="Offer","Track offer acceptance",IF(AND(D3="Interview",J3&gt;5),"Collect interview feedback",IF(D3="Interview","Schedule next round",IF(AND(D3="Screening",J3&gt;5),"Complete screening today",IF(D3="Screening","Screen candidate",IF(AND(D3="Applied",J3&gt;3),"Review profile today","Review profile")))))))))</x:f>
        <x:v>Complete screening today</x:v>
      </x:c>
    </x:row>
    <x:row r="4" ht="22" customHeight="1">
      <x:c r="A4" s="13" t="n">
        <x:v>3</x:v>
      </x:c>
      <x:c r="B4" s="13" t="str">
        <x:v>Ravi Kumar</x:v>
      </x:c>
      <x:c r="C4" s="13" t="str">
        <x:v>IT</x:v>
      </x:c>
      <x:c r="D4" s="13" t="str">
        <x:v>Interview</x:v>
      </x:c>
      <x:c r="E4" s="13" t="str">
        <x:v>Bangalore</x:v>
      </x:c>
      <x:c r="F4" s="22" t="str">
        <x:v>Frontend Developer</x:v>
      </x:c>
      <x:c r="G4" s="13" t="str">
        <x:v>Rohan Mehta</x:v>
      </x:c>
      <x:c r="H4" s="16" t="n">
        <x:v>46212</x:v>
      </x:c>
      <x:c r="I4" s="16" t="n">
        <x:v>46226</x:v>
      </x:c>
      <x:c r="J4" s="18" t="n">
        <x:f>MAX(0,TODAY()-I4)</x:f>
        <x:v>4</x:v>
      </x:c>
      <x:c r="K4" s="13" t="str">
        <x:v>LinkedIn</x:v>
      </x:c>
      <x:c r="L4" s="20" t="n">
        <x:v>4</x:v>
      </x:c>
      <x:c r="M4" s="18" t="n">
        <x:v>60</x:v>
      </x:c>
      <x:c r="N4" s="20" t="n">
        <x:v>9</x:v>
      </x:c>
      <x:c r="O4" s="22"/>
      <x:c r="P4" s="16"/>
      <x:c r="Q4" s="16"/>
      <x:c r="R4" s="18" t="n">
        <x:v>88</x:v>
      </x:c>
      <x:c r="S4" s="13" t="str">
        <x:f>IF(R4&gt;=80,"Strong Fit",IF(R4&gt;=60,"Review","Low Match"))</x:f>
        <x:v>Strong Fit</x:v>
      </x:c>
      <x:c r="T4" s="13" t="str">
        <x:f>IF(OR(D4="Hired",D4="Rejected"),"Closed",IF(OR(AND(D4="Offer",J4&gt;5),AND(M4&gt;=90,D4&lt;&gt;"Applied")),"High",IF(OR(J4&gt;7,M4&gt;=60),"Medium","Low")))</x:f>
        <x:v>Medium</x:v>
      </x:c>
      <x:c r="U4" s="22" t="str">
        <x:f>IF(D4="Hired","Complete onboarding",IF(D4="Rejected","Close record &amp; capture feedback",IF(AND(D4="Offer",J4&gt;3),"Follow up on offer today",IF(D4="Offer","Track offer acceptance",IF(AND(D4="Interview",J4&gt;5),"Collect interview feedback",IF(D4="Interview","Schedule next round",IF(AND(D4="Screening",J4&gt;5),"Complete screening today",IF(D4="Screening","Screen candidate",IF(AND(D4="Applied",J4&gt;3),"Review profile today","Review profile")))))))))</x:f>
        <x:v>Schedule next round</x:v>
      </x:c>
    </x:row>
    <x:row r="5" ht="22" customHeight="1">
      <x:c r="A5" s="13" t="n">
        <x:v>4</x:v>
      </x:c>
      <x:c r="B5" s="13" t="str">
        <x:v>Neha Patel</x:v>
      </x:c>
      <x:c r="C5" s="13" t="str">
        <x:v>Sales</x:v>
      </x:c>
      <x:c r="D5" s="13" t="str">
        <x:v>Offer</x:v>
      </x:c>
      <x:c r="E5" s="13" t="str">
        <x:v>Hyderabad</x:v>
      </x:c>
      <x:c r="F5" s="22" t="str">
        <x:v>Sales Executive</x:v>
      </x:c>
      <x:c r="G5" s="13" t="str">
        <x:v>Kavya Nair</x:v>
      </x:c>
      <x:c r="H5" s="16" t="n">
        <x:v>46202</x:v>
      </x:c>
      <x:c r="I5" s="16" t="n">
        <x:v>46223</x:v>
      </x:c>
      <x:c r="J5" s="18" t="n">
        <x:f>MAX(0,TODAY()-I5)</x:f>
        <x:v>7</x:v>
      </x:c>
      <x:c r="K5" s="13" t="str">
        <x:v>Careers Page</x:v>
      </x:c>
      <x:c r="L5" s="20" t="n">
        <x:v>3</x:v>
      </x:c>
      <x:c r="M5" s="18" t="n">
        <x:v>30</x:v>
      </x:c>
      <x:c r="N5" s="20" t="n">
        <x:v>7.7</x:v>
      </x:c>
      <x:c r="O5" s="22"/>
      <x:c r="P5" s="16" t="n">
        <x:v>46223</x:v>
      </x:c>
      <x:c r="Q5" s="16"/>
      <x:c r="R5" s="18" t="n">
        <x:v>79</x:v>
      </x:c>
      <x:c r="S5" s="13" t="str">
        <x:f>IF(R5&gt;=80,"Strong Fit",IF(R5&gt;=60,"Review","Low Match"))</x:f>
        <x:v>Review</x:v>
      </x:c>
      <x:c r="T5" s="13" t="str">
        <x:f>IF(OR(D5="Hired",D5="Rejected"),"Closed",IF(OR(AND(D5="Offer",J5&gt;5),AND(M5&gt;=90,D5&lt;&gt;"Applied")),"High",IF(OR(J5&gt;7,M5&gt;=60),"Medium","Low")))</x:f>
        <x:v>High</x:v>
      </x:c>
      <x:c r="U5" s="22" t="str">
        <x:f>IF(D5="Hired","Complete onboarding",IF(D5="Rejected","Close record &amp; capture feedback",IF(AND(D5="Offer",J5&gt;3),"Follow up on offer today",IF(D5="Offer","Track offer acceptance",IF(AND(D5="Interview",J5&gt;5),"Collect interview feedback",IF(D5="Interview","Schedule next round",IF(AND(D5="Screening",J5&gt;5),"Complete screening today",IF(D5="Screening","Screen candidate",IF(AND(D5="Applied",J5&gt;3),"Review profile today","Review profile")))))))))</x:f>
        <x:v>Follow up on offer today</x:v>
      </x:c>
    </x:row>
    <x:row r="6" ht="22" customHeight="1">
      <x:c r="A6" s="13" t="n">
        <x:v>5</x:v>
      </x:c>
      <x:c r="B6" s="13" t="str">
        <x:v>Arjun Reddy</x:v>
      </x:c>
      <x:c r="C6" s="13" t="str">
        <x:v>Finance</x:v>
      </x:c>
      <x:c r="D6" s="13" t="str">
        <x:v>Hired</x:v>
      </x:c>
      <x:c r="E6" s="13" t="str">
        <x:v>Chennai</x:v>
      </x:c>
      <x:c r="F6" s="22" t="str">
        <x:v>Accounts Executive</x:v>
      </x:c>
      <x:c r="G6" s="13" t="str">
        <x:v>Kavya Nair</x:v>
      </x:c>
      <x:c r="H6" s="16" t="n">
        <x:v>46196</x:v>
      </x:c>
      <x:c r="I6" s="16" t="n">
        <x:v>46228</x:v>
      </x:c>
      <x:c r="J6" s="18" t="n">
        <x:f>MAX(0,TODAY()-I6)</x:f>
        <x:v>2</x:v>
      </x:c>
      <x:c r="K6" s="13" t="str">
        <x:v>Naukri</x:v>
      </x:c>
      <x:c r="L6" s="20" t="n">
        <x:v>5.5</x:v>
      </x:c>
      <x:c r="M6" s="18" t="n">
        <x:v>15</x:v>
      </x:c>
      <x:c r="N6" s="20" t="n">
        <x:v>9.1</x:v>
      </x:c>
      <x:c r="O6" s="22"/>
      <x:c r="P6" s="16" t="n">
        <x:v>46220</x:v>
      </x:c>
      <x:c r="Q6" s="16" t="n">
        <x:v>46228</x:v>
      </x:c>
      <x:c r="R6" s="18" t="n">
        <x:v>91</x:v>
      </x:c>
      <x:c r="S6" s="13" t="str">
        <x:f>IF(R6&gt;=80,"Strong Fit",IF(R6&gt;=60,"Review","Low Match"))</x:f>
        <x:v>Strong Fit</x:v>
      </x:c>
      <x:c r="T6" s="13" t="str">
        <x:f>IF(OR(D6="Hired",D6="Rejected"),"Closed",IF(OR(AND(D6="Offer",J6&gt;5),AND(M6&gt;=90,D6&lt;&gt;"Applied")),"High",IF(OR(J6&gt;7,M6&gt;=60),"Medium","Low")))</x:f>
        <x:v>Closed</x:v>
      </x:c>
      <x:c r="U6" s="22" t="str">
        <x:f>IF(D6="Hired","Complete onboarding",IF(D6="Rejected","Close record &amp; capture feedback",IF(AND(D6="Offer",J6&gt;3),"Follow up on offer today",IF(D6="Offer","Track offer acceptance",IF(AND(D6="Interview",J6&gt;5),"Collect interview feedback",IF(D6="Interview","Schedule next round",IF(AND(D6="Screening",J6&gt;5),"Complete screening today",IF(D6="Screening","Screen candidate",IF(AND(D6="Applied",J6&gt;3),"Review profile today","Review profile")))))))))</x:f>
        <x:v>Complete onboarding</x:v>
      </x:c>
    </x:row>
    <x:row r="7" ht="22" customHeight="1">
      <x:c r="A7" s="13" t="n">
        <x:v>6</x:v>
      </x:c>
      <x:c r="B7" s="13" t="str">
        <x:v>Kiran Mehta</x:v>
      </x:c>
      <x:c r="C7" s="13" t="str">
        <x:v>IT</x:v>
      </x:c>
      <x:c r="D7" s="13" t="str">
        <x:v>Applied</x:v>
      </x:c>
      <x:c r="E7" s="13" t="str">
        <x:v>Pune</x:v>
      </x:c>
      <x:c r="F7" s="22" t="str">
        <x:v>Backend Developer</x:v>
      </x:c>
      <x:c r="G7" s="13" t="str">
        <x:v>Meera Shah</x:v>
      </x:c>
      <x:c r="H7" s="16" t="n">
        <x:v>46225</x:v>
      </x:c>
      <x:c r="I7" s="16" t="n">
        <x:v>46227</x:v>
      </x:c>
      <x:c r="J7" s="18" t="n">
        <x:f>MAX(0,TODAY()-I7)</x:f>
        <x:v>3</x:v>
      </x:c>
      <x:c r="K7" s="13" t="str">
        <x:v>Referral</x:v>
      </x:c>
      <x:c r="L7" s="20" t="n">
        <x:v>2.5</x:v>
      </x:c>
      <x:c r="M7" s="18" t="n">
        <x:v>60</x:v>
      </x:c>
      <x:c r="N7" s="20"/>
      <x:c r="O7" s="22"/>
      <x:c r="P7" s="16"/>
      <x:c r="Q7" s="16"/>
      <x:c r="R7" s="18" t="n">
        <x:v>68</x:v>
      </x:c>
      <x:c r="S7" s="13" t="str">
        <x:f>IF(R7&gt;=80,"Strong Fit",IF(R7&gt;=60,"Review","Low Match"))</x:f>
        <x:v>Review</x:v>
      </x:c>
      <x:c r="T7" s="13" t="str">
        <x:f>IF(OR(D7="Hired",D7="Rejected"),"Closed",IF(OR(AND(D7="Offer",J7&gt;5),AND(M7&gt;=90,D7&lt;&gt;"Applied")),"High",IF(OR(J7&gt;7,M7&gt;=60),"Medium","Low")))</x:f>
        <x:v>Medium</x:v>
      </x:c>
      <x:c r="U7" s="22" t="str">
        <x:f>IF(D7="Hired","Complete onboarding",IF(D7="Rejected","Close record &amp; capture feedback",IF(AND(D7="Offer",J7&gt;3),"Follow up on offer today",IF(D7="Offer","Track offer acceptance",IF(AND(D7="Interview",J7&gt;5),"Collect interview feedback",IF(D7="Interview","Schedule next round",IF(AND(D7="Screening",J7&gt;5),"Complete screening today",IF(D7="Screening","Screen candidate",IF(AND(D7="Applied",J7&gt;3),"Review profile today","Review profile")))))))))</x:f>
        <x:v>Review profile</x:v>
      </x:c>
    </x:row>
    <x:row r="8" ht="22" customHeight="1">
      <x:c r="A8" s="13" t="n">
        <x:v>7</x:v>
      </x:c>
      <x:c r="B8" s="13" t="str">
        <x:v>Suresh Iyer</x:v>
      </x:c>
      <x:c r="C8" s="13" t="str">
        <x:v>Sales</x:v>
      </x:c>
      <x:c r="D8" s="13" t="str">
        <x:v>Screening</x:v>
      </x:c>
      <x:c r="E8" s="13" t="str">
        <x:v>Kolkata</x:v>
      </x:c>
      <x:c r="F8" s="22" t="str">
        <x:v>Account Manager</x:v>
      </x:c>
      <x:c r="G8" s="13" t="str">
        <x:v>Rohan Mehta</x:v>
      </x:c>
      <x:c r="H8" s="16" t="n">
        <x:v>46214</x:v>
      </x:c>
      <x:c r="I8" s="16" t="n">
        <x:v>46221</x:v>
      </x:c>
      <x:c r="J8" s="18" t="n">
        <x:f>MAX(0,TODAY()-I8)</x:f>
        <x:v>9</x:v>
      </x:c>
      <x:c r="K8" s="13" t="str">
        <x:v>Naukri</x:v>
      </x:c>
      <x:c r="L8" s="20" t="n">
        <x:v>4.5</x:v>
      </x:c>
      <x:c r="M8" s="18" t="n">
        <x:v>90</x:v>
      </x:c>
      <x:c r="N8" s="20"/>
      <x:c r="O8" s="22"/>
      <x:c r="P8" s="16"/>
      <x:c r="Q8" s="16"/>
      <x:c r="R8" s="18" t="n">
        <x:v>72</x:v>
      </x:c>
      <x:c r="S8" s="13" t="str">
        <x:f>IF(R8&gt;=80,"Strong Fit",IF(R8&gt;=60,"Review","Low Match"))</x:f>
        <x:v>Review</x:v>
      </x:c>
      <x:c r="T8" s="13" t="str">
        <x:f>IF(OR(D8="Hired",D8="Rejected"),"Closed",IF(OR(AND(D8="Offer",J8&gt;5),AND(M8&gt;=90,D8&lt;&gt;"Applied")),"High",IF(OR(J8&gt;7,M8&gt;=60),"Medium","Low")))</x:f>
        <x:v>High</x:v>
      </x:c>
      <x:c r="U8" s="22" t="str">
        <x:f>IF(D8="Hired","Complete onboarding",IF(D8="Rejected","Close record &amp; capture feedback",IF(AND(D8="Offer",J8&gt;3),"Follow up on offer today",IF(D8="Offer","Track offer acceptance",IF(AND(D8="Interview",J8&gt;5),"Collect interview feedback",IF(D8="Interview","Schedule next round",IF(AND(D8="Screening",J8&gt;5),"Complete screening today",IF(D8="Screening","Screen candidate",IF(AND(D8="Applied",J8&gt;3),"Review profile today","Review profile")))))))))</x:f>
        <x:v>Complete screening today</x:v>
      </x:c>
    </x:row>
    <x:row r="9" ht="22" customHeight="1">
      <x:c r="A9" s="13" t="n">
        <x:v>8</x:v>
      </x:c>
      <x:c r="B9" s="13" t="str">
        <x:v>Anita Das</x:v>
      </x:c>
      <x:c r="C9" s="13" t="str">
        <x:v>Finance</x:v>
      </x:c>
      <x:c r="D9" s="13" t="str">
        <x:v>Interview</x:v>
      </x:c>
      <x:c r="E9" s="13" t="str">
        <x:v>Delhi</x:v>
      </x:c>
      <x:c r="F9" s="22" t="str">
        <x:v>FP&amp;A Analyst</x:v>
      </x:c>
      <x:c r="G9" s="13" t="str">
        <x:v>Aisha Khan</x:v>
      </x:c>
      <x:c r="H9" s="16" t="n">
        <x:v>46214</x:v>
      </x:c>
      <x:c r="I9" s="16" t="n">
        <x:v>46228</x:v>
      </x:c>
      <x:c r="J9" s="18" t="n">
        <x:f>MAX(0,TODAY()-I9)</x:f>
        <x:v>2</x:v>
      </x:c>
      <x:c r="K9" s="13" t="str">
        <x:v>Indeed</x:v>
      </x:c>
      <x:c r="L9" s="20" t="n">
        <x:v>3</x:v>
      </x:c>
      <x:c r="M9" s="18" t="n">
        <x:v>30</x:v>
      </x:c>
      <x:c r="N9" s="20" t="n">
        <x:v>8.6</x:v>
      </x:c>
      <x:c r="O9" s="22"/>
      <x:c r="P9" s="16"/>
      <x:c r="Q9" s="16"/>
      <x:c r="R9" s="18" t="n">
        <x:v>86</x:v>
      </x:c>
      <x:c r="S9" s="13" t="str">
        <x:f>IF(R9&gt;=80,"Strong Fit",IF(R9&gt;=60,"Review","Low Match"))</x:f>
        <x:v>Strong Fit</x:v>
      </x:c>
      <x:c r="T9" s="13" t="str">
        <x:f>IF(OR(D9="Hired",D9="Rejected"),"Closed",IF(OR(AND(D9="Offer",J9&gt;5),AND(M9&gt;=90,D9&lt;&gt;"Applied")),"High",IF(OR(J9&gt;7,M9&gt;=60),"Medium","Low")))</x:f>
        <x:v>Low</x:v>
      </x:c>
      <x:c r="U9" s="22" t="str">
        <x:f>IF(D9="Hired","Complete onboarding",IF(D9="Rejected","Close record &amp; capture feedback",IF(AND(D9="Offer",J9&gt;3),"Follow up on offer today",IF(D9="Offer","Track offer acceptance",IF(AND(D9="Interview",J9&gt;5),"Collect interview feedback",IF(D9="Interview","Schedule next round",IF(AND(D9="Screening",J9&gt;5),"Complete screening today",IF(D9="Screening","Screen candidate",IF(AND(D9="Applied",J9&gt;3),"Review profile today","Review profile")))))))))</x:f>
        <x:v>Schedule next round</x:v>
      </x:c>
    </x:row>
    <x:row r="10" ht="22" customHeight="1">
      <x:c r="A10" s="13" t="n">
        <x:v>9</x:v>
      </x:c>
      <x:c r="B10" s="13" t="str">
        <x:v>Vikram Joshi</x:v>
      </x:c>
      <x:c r="C10" s="13" t="str">
        <x:v>HR</x:v>
      </x:c>
      <x:c r="D10" s="13" t="str">
        <x:v>Offer</x:v>
      </x:c>
      <x:c r="E10" s="13" t="str">
        <x:v>Mumbai</x:v>
      </x:c>
      <x:c r="F10" s="22" t="str">
        <x:v>Talent Acquisition Specialist</x:v>
      </x:c>
      <x:c r="G10" s="13" t="str">
        <x:v>Meera Shah</x:v>
      </x:c>
      <x:c r="H10" s="16" t="n">
        <x:v>46203</x:v>
      </x:c>
      <x:c r="I10" s="16" t="n">
        <x:v>46224</x:v>
      </x:c>
      <x:c r="J10" s="18" t="n">
        <x:f>MAX(0,TODAY()-I10)</x:f>
        <x:v>6</x:v>
      </x:c>
      <x:c r="K10" s="13" t="str">
        <x:v>Careers Page</x:v>
      </x:c>
      <x:c r="L10" s="20" t="n">
        <x:v>4</x:v>
      </x:c>
      <x:c r="M10" s="18" t="n">
        <x:v>45</x:v>
      </x:c>
      <x:c r="N10" s="20" t="n">
        <x:v>8.6</x:v>
      </x:c>
      <x:c r="O10" s="22"/>
      <x:c r="P10" s="16" t="n">
        <x:v>46224</x:v>
      </x:c>
      <x:c r="Q10" s="16"/>
      <x:c r="R10" s="18" t="n">
        <x:v>84</x:v>
      </x:c>
      <x:c r="S10" s="13" t="str">
        <x:f>IF(R10&gt;=80,"Strong Fit",IF(R10&gt;=60,"Review","Low Match"))</x:f>
        <x:v>Strong Fit</x:v>
      </x:c>
      <x:c r="T10" s="13" t="str">
        <x:f>IF(OR(D10="Hired",D10="Rejected"),"Closed",IF(OR(AND(D10="Offer",J10&gt;5),AND(M10&gt;=90,D10&lt;&gt;"Applied")),"High",IF(OR(J10&gt;7,M10&gt;=60),"Medium","Low")))</x:f>
        <x:v>High</x:v>
      </x:c>
      <x:c r="U10" s="22" t="str">
        <x:f>IF(D10="Hired","Complete onboarding",IF(D10="Rejected","Close record &amp; capture feedback",IF(AND(D10="Offer",J10&gt;3),"Follow up on offer today",IF(D10="Offer","Track offer acceptance",IF(AND(D10="Interview",J10&gt;5),"Collect interview feedback",IF(D10="Interview","Schedule next round",IF(AND(D10="Screening",J10&gt;5),"Complete screening today",IF(D10="Screening","Screen candidate",IF(AND(D10="Applied",J10&gt;3),"Review profile today","Review profile")))))))))</x:f>
        <x:v>Follow up on offer today</x:v>
      </x:c>
    </x:row>
    <x:row r="11" ht="22" customHeight="1">
      <x:c r="A11" s="13" t="n">
        <x:v>10</x:v>
      </x:c>
      <x:c r="B11" s="13" t="str">
        <x:v>Pooja Nair</x:v>
      </x:c>
      <x:c r="C11" s="13" t="str">
        <x:v>IT</x:v>
      </x:c>
      <x:c r="D11" s="13" t="str">
        <x:v>Rejected</x:v>
      </x:c>
      <x:c r="E11" s="13" t="str">
        <x:v>Hyderabad</x:v>
      </x:c>
      <x:c r="F11" s="22" t="str">
        <x:v>QA Engineer</x:v>
      </x:c>
      <x:c r="G11" s="13" t="str">
        <x:v>Rohan Mehta</x:v>
      </x:c>
      <x:c r="H11" s="16" t="n">
        <x:v>46209</x:v>
      </x:c>
      <x:c r="I11" s="16" t="n">
        <x:v>46225</x:v>
      </x:c>
      <x:c r="J11" s="18" t="n">
        <x:f>MAX(0,TODAY()-I11)</x:f>
        <x:v>5</x:v>
      </x:c>
      <x:c r="K11" s="13" t="str">
        <x:v>Indeed</x:v>
      </x:c>
      <x:c r="L11" s="20" t="n">
        <x:v>2</x:v>
      </x:c>
      <x:c r="M11" s="18" t="n">
        <x:v>60</x:v>
      </x:c>
      <x:c r="N11" s="20" t="n">
        <x:v>5.6</x:v>
      </x:c>
      <x:c r="O11" s="22" t="str">
        <x:v>Technical skills gap</x:v>
      </x:c>
      <x:c r="P11" s="16"/>
      <x:c r="Q11" s="16"/>
      <x:c r="R11" s="18" t="n">
        <x:v>58</x:v>
      </x:c>
      <x:c r="S11" s="13" t="str">
        <x:f>IF(R11&gt;=80,"Strong Fit",IF(R11&gt;=60,"Review","Low Match"))</x:f>
        <x:v>Low Match</x:v>
      </x:c>
      <x:c r="T11" s="13" t="str">
        <x:f>IF(OR(D11="Hired",D11="Rejected"),"Closed",IF(OR(AND(D11="Offer",J11&gt;5),AND(M11&gt;=90,D11&lt;&gt;"Applied")),"High",IF(OR(J11&gt;7,M11&gt;=60),"Medium","Low")))</x:f>
        <x:v>Closed</x:v>
      </x:c>
      <x:c r="U11" s="22" t="str">
        <x:f>IF(D11="Hired","Complete onboarding",IF(D11="Rejected","Close record &amp; capture feedback",IF(AND(D11="Offer",J11&gt;3),"Follow up on offer today",IF(D11="Offer","Track offer acceptance",IF(AND(D11="Interview",J11&gt;5),"Collect interview feedback",IF(D11="Interview","Schedule next round",IF(AND(D11="Screening",J11&gt;5),"Complete screening today",IF(D11="Screening","Screen candidate",IF(AND(D11="Applied",J11&gt;3),"Review profile today","Review profile")))))))))</x:f>
        <x:v>Close record &amp; capture feedback</x:v>
      </x:c>
    </x:row>
    <x:row r="12" ht="22" customHeight="1">
      <x:c r="A12" s="13" t="n">
        <x:v>11</x:v>
      </x:c>
      <x:c r="B12" s="13" t="str">
        <x:v>Rahul Verma</x:v>
      </x:c>
      <x:c r="C12" s="13" t="str">
        <x:v>Finance</x:v>
      </x:c>
      <x:c r="D12" s="13" t="str">
        <x:v>Applied</x:v>
      </x:c>
      <x:c r="E12" s="13" t="str">
        <x:v>Chennai</x:v>
      </x:c>
      <x:c r="F12" s="22" t="str">
        <x:v>Senior Accountant</x:v>
      </x:c>
      <x:c r="G12" s="13" t="str">
        <x:v>Kavya Nair</x:v>
      </x:c>
      <x:c r="H12" s="16" t="n">
        <x:v>46217</x:v>
      </x:c>
      <x:c r="I12" s="16" t="n">
        <x:v>46219</x:v>
      </x:c>
      <x:c r="J12" s="18" t="n">
        <x:f>MAX(0,TODAY()-I12)</x:f>
        <x:v>11</x:v>
      </x:c>
      <x:c r="K12" s="13" t="str">
        <x:v>LinkedIn</x:v>
      </x:c>
      <x:c r="L12" s="20" t="n">
        <x:v>3.5</x:v>
      </x:c>
      <x:c r="M12" s="18" t="n">
        <x:v>30</x:v>
      </x:c>
      <x:c r="N12" s="20"/>
      <x:c r="O12" s="22"/>
      <x:c r="P12" s="16"/>
      <x:c r="Q12" s="16"/>
      <x:c r="R12" s="18" t="n">
        <x:v>77</x:v>
      </x:c>
      <x:c r="S12" s="13" t="str">
        <x:f>IF(R12&gt;=80,"Strong Fit",IF(R12&gt;=60,"Review","Low Match"))</x:f>
        <x:v>Review</x:v>
      </x:c>
      <x:c r="T12" s="13" t="str">
        <x:f>IF(OR(D12="Hired",D12="Rejected"),"Closed",IF(OR(AND(D12="Offer",J12&gt;5),AND(M12&gt;=90,D12&lt;&gt;"Applied")),"High",IF(OR(J12&gt;7,M12&gt;=60),"Medium","Low")))</x:f>
        <x:v>Medium</x:v>
      </x:c>
      <x:c r="U12" s="22" t="str">
        <x:f>IF(D12="Hired","Complete onboarding",IF(D12="Rejected","Close record &amp; capture feedback",IF(AND(D12="Offer",J12&gt;3),"Follow up on offer today",IF(D12="Offer","Track offer acceptance",IF(AND(D12="Interview",J12&gt;5),"Collect interview feedback",IF(D12="Interview","Schedule next round",IF(AND(D12="Screening",J12&gt;5),"Complete screening today",IF(D12="Screening","Screen candidate",IF(AND(D12="Applied",J12&gt;3),"Review profile today","Review profile")))))))))</x:f>
        <x:v>Review profile today</x:v>
      </x:c>
    </x:row>
    <x:row r="13" ht="22" customHeight="1">
      <x:c r="A13" s="13" t="n">
        <x:v>12</x:v>
      </x:c>
      <x:c r="B13" s="13" t="str">
        <x:v>Sneha Gupta</x:v>
      </x:c>
      <x:c r="C13" s="13" t="str">
        <x:v>Sales</x:v>
      </x:c>
      <x:c r="D13" s="13" t="str">
        <x:v>Screening</x:v>
      </x:c>
      <x:c r="E13" s="13" t="str">
        <x:v>Pune</x:v>
      </x:c>
      <x:c r="F13" s="22" t="str">
        <x:v>Business Development Executive</x:v>
      </x:c>
      <x:c r="G13" s="13" t="str">
        <x:v>Kavya Nair</x:v>
      </x:c>
      <x:c r="H13" s="16" t="n">
        <x:v>46219</x:v>
      </x:c>
      <x:c r="I13" s="16" t="n">
        <x:v>46226</x:v>
      </x:c>
      <x:c r="J13" s="18" t="n">
        <x:f>MAX(0,TODAY()-I13)</x:f>
        <x:v>4</x:v>
      </x:c>
      <x:c r="K13" s="13" t="str">
        <x:v>Naukri</x:v>
      </x:c>
      <x:c r="L13" s="20" t="n">
        <x:v>2.5</x:v>
      </x:c>
      <x:c r="M13" s="18" t="n">
        <x:v>45</x:v>
      </x:c>
      <x:c r="N13" s="20"/>
      <x:c r="O13" s="22"/>
      <x:c r="P13" s="16"/>
      <x:c r="Q13" s="16"/>
      <x:c r="R13" s="18" t="n">
        <x:v>71</x:v>
      </x:c>
      <x:c r="S13" s="13" t="str">
        <x:f>IF(R13&gt;=80,"Strong Fit",IF(R13&gt;=60,"Review","Low Match"))</x:f>
        <x:v>Review</x:v>
      </x:c>
      <x:c r="T13" s="13" t="str">
        <x:f>IF(OR(D13="Hired",D13="Rejected"),"Closed",IF(OR(AND(D13="Offer",J13&gt;5),AND(M13&gt;=90,D13&lt;&gt;"Applied")),"High",IF(OR(J13&gt;7,M13&gt;=60),"Medium","Low")))</x:f>
        <x:v>Low</x:v>
      </x:c>
      <x:c r="U13" s="22" t="str">
        <x:f>IF(D13="Hired","Complete onboarding",IF(D13="Rejected","Close record &amp; capture feedback",IF(AND(D13="Offer",J13&gt;3),"Follow up on offer today",IF(D13="Offer","Track offer acceptance",IF(AND(D13="Interview",J13&gt;5),"Collect interview feedback",IF(D13="Interview","Schedule next round",IF(AND(D13="Screening",J13&gt;5),"Complete screening today",IF(D13="Screening","Screen candidate",IF(AND(D13="Applied",J13&gt;3),"Review profile today","Review profile")))))))))</x:f>
        <x:v>Screen candidate</x:v>
      </x:c>
    </x:row>
    <x:row r="14" ht="22" customHeight="1">
      <x:c r="A14" s="13" t="n">
        <x:v>13</x:v>
      </x:c>
      <x:c r="B14" s="13" t="str">
        <x:v>Ajay Menon</x:v>
      </x:c>
      <x:c r="C14" s="13" t="str">
        <x:v>IT</x:v>
      </x:c>
      <x:c r="D14" s="13" t="str">
        <x:v>Interview</x:v>
      </x:c>
      <x:c r="E14" s="13" t="str">
        <x:v>Bangalore</x:v>
      </x:c>
      <x:c r="F14" s="22" t="str">
        <x:v>Data Analyst</x:v>
      </x:c>
      <x:c r="G14" s="13" t="str">
        <x:v>Meera Shah</x:v>
      </x:c>
      <x:c r="H14" s="16" t="n">
        <x:v>46209</x:v>
      </x:c>
      <x:c r="I14" s="16" t="n">
        <x:v>46223</x:v>
      </x:c>
      <x:c r="J14" s="18" t="n">
        <x:f>MAX(0,TODAY()-I14)</x:f>
        <x:v>7</x:v>
      </x:c>
      <x:c r="K14" s="13" t="str">
        <x:v>LinkedIn</x:v>
      </x:c>
      <x:c r="L14" s="20" t="n">
        <x:v>5</x:v>
      </x:c>
      <x:c r="M14" s="18" t="n">
        <x:v>60</x:v>
      </x:c>
      <x:c r="N14" s="20" t="n">
        <x:v>8.7</x:v>
      </x:c>
      <x:c r="O14" s="22"/>
      <x:c r="P14" s="16"/>
      <x:c r="Q14" s="16"/>
      <x:c r="R14" s="18" t="n">
        <x:v>89</x:v>
      </x:c>
      <x:c r="S14" s="13" t="str">
        <x:f>IF(R14&gt;=80,"Strong Fit",IF(R14&gt;=60,"Review","Low Match"))</x:f>
        <x:v>Strong Fit</x:v>
      </x:c>
      <x:c r="T14" s="13" t="str">
        <x:f>IF(OR(D14="Hired",D14="Rejected"),"Closed",IF(OR(AND(D14="Offer",J14&gt;5),AND(M14&gt;=90,D14&lt;&gt;"Applied")),"High",IF(OR(J14&gt;7,M14&gt;=60),"Medium","Low")))</x:f>
        <x:v>Medium</x:v>
      </x:c>
      <x:c r="U14" s="22" t="str">
        <x:f>IF(D14="Hired","Complete onboarding",IF(D14="Rejected","Close record &amp; capture feedback",IF(AND(D14="Offer",J14&gt;3),"Follow up on offer today",IF(D14="Offer","Track offer acceptance",IF(AND(D14="Interview",J14&gt;5),"Collect interview feedback",IF(D14="Interview","Schedule next round",IF(AND(D14="Screening",J14&gt;5),"Complete screening today",IF(D14="Screening","Screen candidate",IF(AND(D14="Applied",J14&gt;3),"Review profile today","Review profile")))))))))</x:f>
        <x:v>Collect interview feedback</x:v>
      </x:c>
    </x:row>
    <x:row r="15" ht="22" customHeight="1">
      <x:c r="A15" s="13" t="n">
        <x:v>14</x:v>
      </x:c>
      <x:c r="B15" s="13" t="str">
        <x:v>Meera Iyer</x:v>
      </x:c>
      <x:c r="C15" s="13" t="str">
        <x:v>HR</x:v>
      </x:c>
      <x:c r="D15" s="13" t="str">
        <x:v>Offer</x:v>
      </x:c>
      <x:c r="E15" s="13" t="str">
        <x:v>Delhi</x:v>
      </x:c>
      <x:c r="F15" s="22" t="str">
        <x:v>HR Business Partner</x:v>
      </x:c>
      <x:c r="G15" s="13" t="str">
        <x:v>Aisha Khan</x:v>
      </x:c>
      <x:c r="H15" s="16" t="n">
        <x:v>46200</x:v>
      </x:c>
      <x:c r="I15" s="16" t="n">
        <x:v>46221</x:v>
      </x:c>
      <x:c r="J15" s="18" t="n">
        <x:f>MAX(0,TODAY()-I15)</x:f>
        <x:v>9</x:v>
      </x:c>
      <x:c r="K15" s="13" t="str">
        <x:v>Careers Page</x:v>
      </x:c>
      <x:c r="L15" s="20" t="n">
        <x:v>4.5</x:v>
      </x:c>
      <x:c r="M15" s="18" t="n">
        <x:v>90</x:v>
      </x:c>
      <x:c r="N15" s="20" t="n">
        <x:v>8.7</x:v>
      </x:c>
      <x:c r="O15" s="22"/>
      <x:c r="P15" s="16" t="n">
        <x:v>46221</x:v>
      </x:c>
      <x:c r="Q15" s="16"/>
      <x:c r="R15" s="18" t="n">
        <x:v>87</x:v>
      </x:c>
      <x:c r="S15" s="13" t="str">
        <x:f>IF(R15&gt;=80,"Strong Fit",IF(R15&gt;=60,"Review","Low Match"))</x:f>
        <x:v>Strong Fit</x:v>
      </x:c>
      <x:c r="T15" s="13" t="str">
        <x:f>IF(OR(D15="Hired",D15="Rejected"),"Closed",IF(OR(AND(D15="Offer",J15&gt;5),AND(M15&gt;=90,D15&lt;&gt;"Applied")),"High",IF(OR(J15&gt;7,M15&gt;=60),"Medium","Low")))</x:f>
        <x:v>High</x:v>
      </x:c>
      <x:c r="U15" s="22" t="str">
        <x:f>IF(D15="Hired","Complete onboarding",IF(D15="Rejected","Close record &amp; capture feedback",IF(AND(D15="Offer",J15&gt;3),"Follow up on offer today",IF(D15="Offer","Track offer acceptance",IF(AND(D15="Interview",J15&gt;5),"Collect interview feedback",IF(D15="Interview","Schedule next round",IF(AND(D15="Screening",J15&gt;5),"Complete screening today",IF(D15="Screening","Screen candidate",IF(AND(D15="Applied",J15&gt;3),"Review profile today","Review profile")))))))))</x:f>
        <x:v>Follow up on offer today</x:v>
      </x:c>
    </x:row>
    <x:row r="16" ht="22" customHeight="1">
      <x:c r="A16" s="13" t="n">
        <x:v>15</x:v>
      </x:c>
      <x:c r="B16" s="13" t="str">
        <x:v>Rohit Malik</x:v>
      </x:c>
      <x:c r="C16" s="13" t="str">
        <x:v>Finance</x:v>
      </x:c>
      <x:c r="D16" s="13" t="str">
        <x:v>Hired</x:v>
      </x:c>
      <x:c r="E16" s="13" t="str">
        <x:v>Kolkata</x:v>
      </x:c>
      <x:c r="F16" s="22" t="str">
        <x:v>Finance Manager</x:v>
      </x:c>
      <x:c r="G16" s="13" t="str">
        <x:v>Aisha Khan</x:v>
      </x:c>
      <x:c r="H16" s="16" t="n">
        <x:v>46195</x:v>
      </x:c>
      <x:c r="I16" s="16" t="n">
        <x:v>46227</x:v>
      </x:c>
      <x:c r="J16" s="18" t="n">
        <x:f>MAX(0,TODAY()-I16)</x:f>
        <x:v>3</x:v>
      </x:c>
      <x:c r="K16" s="13" t="str">
        <x:v>Naukri</x:v>
      </x:c>
      <x:c r="L16" s="20" t="n">
        <x:v>6</x:v>
      </x:c>
      <x:c r="M16" s="18" t="n">
        <x:v>30</x:v>
      </x:c>
      <x:c r="N16" s="20" t="n">
        <x:v>9.5</x:v>
      </x:c>
      <x:c r="O16" s="22"/>
      <x:c r="P16" s="16" t="n">
        <x:v>46219</x:v>
      </x:c>
      <x:c r="Q16" s="16" t="n">
        <x:v>46227</x:v>
      </x:c>
      <x:c r="R16" s="18" t="n">
        <x:v>93</x:v>
      </x:c>
      <x:c r="S16" s="13" t="str">
        <x:f>IF(R16&gt;=80,"Strong Fit",IF(R16&gt;=60,"Review","Low Match"))</x:f>
        <x:v>Strong Fit</x:v>
      </x:c>
      <x:c r="T16" s="13" t="str">
        <x:f>IF(OR(D16="Hired",D16="Rejected"),"Closed",IF(OR(AND(D16="Offer",J16&gt;5),AND(M16&gt;=90,D16&lt;&gt;"Applied")),"High",IF(OR(J16&gt;7,M16&gt;=60),"Medium","Low")))</x:f>
        <x:v>Closed</x:v>
      </x:c>
      <x:c r="U16" s="22" t="str">
        <x:f>IF(D16="Hired","Complete onboarding",IF(D16="Rejected","Close record &amp; capture feedback",IF(AND(D16="Offer",J16&gt;3),"Follow up on offer today",IF(D16="Offer","Track offer acceptance",IF(AND(D16="Interview",J16&gt;5),"Collect interview feedback",IF(D16="Interview","Schedule next round",IF(AND(D16="Screening",J16&gt;5),"Complete screening today",IF(D16="Screening","Screen candidate",IF(AND(D16="Applied",J16&gt;3),"Review profile today","Review profile")))))))))</x:f>
        <x:v>Complete onboarding</x:v>
      </x:c>
    </x:row>
    <x:row r="17" ht="22" customHeight="1">
      <x:c r="A17" s="13" t="n">
        <x:v>16</x:v>
      </x:c>
      <x:c r="B17" s="13" t="str">
        <x:v>Divya Agarwal</x:v>
      </x:c>
      <x:c r="C17" s="13" t="str">
        <x:v>Sales</x:v>
      </x:c>
      <x:c r="D17" s="13" t="str">
        <x:v>Applied</x:v>
      </x:c>
      <x:c r="E17" s="13" t="str">
        <x:v>Mumbai</x:v>
      </x:c>
      <x:c r="F17" s="22" t="str">
        <x:v>Inside Sales Executive</x:v>
      </x:c>
      <x:c r="G17" s="13" t="str">
        <x:v>Rohan Mehta</x:v>
      </x:c>
      <x:c r="H17" s="16" t="n">
        <x:v>46223</x:v>
      </x:c>
      <x:c r="I17" s="16" t="n">
        <x:v>46225</x:v>
      </x:c>
      <x:c r="J17" s="18" t="n">
        <x:f>MAX(0,TODAY()-I17)</x:f>
        <x:v>5</x:v>
      </x:c>
      <x:c r="K17" s="13" t="str">
        <x:v>Referral</x:v>
      </x:c>
      <x:c r="L17" s="20" t="n">
        <x:v>2</x:v>
      </x:c>
      <x:c r="M17" s="18" t="n">
        <x:v>15</x:v>
      </x:c>
      <x:c r="N17" s="20"/>
      <x:c r="O17" s="22"/>
      <x:c r="P17" s="16"/>
      <x:c r="Q17" s="16"/>
      <x:c r="R17" s="18" t="n">
        <x:v>66</x:v>
      </x:c>
      <x:c r="S17" s="13" t="str">
        <x:f>IF(R17&gt;=80,"Strong Fit",IF(R17&gt;=60,"Review","Low Match"))</x:f>
        <x:v>Review</x:v>
      </x:c>
      <x:c r="T17" s="13" t="str">
        <x:f>IF(OR(D17="Hired",D17="Rejected"),"Closed",IF(OR(AND(D17="Offer",J17&gt;5),AND(M17&gt;=90,D17&lt;&gt;"Applied")),"High",IF(OR(J17&gt;7,M17&gt;=60),"Medium","Low")))</x:f>
        <x:v>Low</x:v>
      </x:c>
      <x:c r="U17" s="22" t="str">
        <x:f>IF(D17="Hired","Complete onboarding",IF(D17="Rejected","Close record &amp; capture feedback",IF(AND(D17="Offer",J17&gt;3),"Follow up on offer today",IF(D17="Offer","Track offer acceptance",IF(AND(D17="Interview",J17&gt;5),"Collect interview feedback",IF(D17="Interview","Schedule next round",IF(AND(D17="Screening",J17&gt;5),"Complete screening today",IF(D17="Screening","Screen candidate",IF(AND(D17="Applied",J17&gt;3),"Review profile today","Review profile")))))))))</x:f>
        <x:v>Review profile today</x:v>
      </x:c>
    </x:row>
    <x:row r="18" ht="22" customHeight="1">
      <x:c r="A18" s="13" t="n">
        <x:v>17</x:v>
      </x:c>
      <x:c r="B18" s="13" t="str">
        <x:v>Manish Jain</x:v>
      </x:c>
      <x:c r="C18" s="13" t="str">
        <x:v>IT</x:v>
      </x:c>
      <x:c r="D18" s="13" t="str">
        <x:v>Screening</x:v>
      </x:c>
      <x:c r="E18" s="13" t="str">
        <x:v>Hyderabad</x:v>
      </x:c>
      <x:c r="F18" s="22" t="str">
        <x:v>DevOps Engineer</x:v>
      </x:c>
      <x:c r="G18" s="13" t="str">
        <x:v>Rohan Mehta</x:v>
      </x:c>
      <x:c r="H18" s="16" t="n">
        <x:v>46215</x:v>
      </x:c>
      <x:c r="I18" s="16" t="n">
        <x:v>46222</x:v>
      </x:c>
      <x:c r="J18" s="18" t="n">
        <x:f>MAX(0,TODAY()-I18)</x:f>
        <x:v>8</x:v>
      </x:c>
      <x:c r="K18" s="13" t="str">
        <x:v>Naukri</x:v>
      </x:c>
      <x:c r="L18" s="20" t="n">
        <x:v>3</x:v>
      </x:c>
      <x:c r="M18" s="18" t="n">
        <x:v>60</x:v>
      </x:c>
      <x:c r="N18" s="20"/>
      <x:c r="O18" s="22"/>
      <x:c r="P18" s="16"/>
      <x:c r="Q18" s="16"/>
      <x:c r="R18" s="18" t="n">
        <x:v>73</x:v>
      </x:c>
      <x:c r="S18" s="13" t="str">
        <x:f>IF(R18&gt;=80,"Strong Fit",IF(R18&gt;=60,"Review","Low Match"))</x:f>
        <x:v>Review</x:v>
      </x:c>
      <x:c r="T18" s="13" t="str">
        <x:f>IF(OR(D18="Hired",D18="Rejected"),"Closed",IF(OR(AND(D18="Offer",J18&gt;5),AND(M18&gt;=90,D18&lt;&gt;"Applied")),"High",IF(OR(J18&gt;7,M18&gt;=60),"Medium","Low")))</x:f>
        <x:v>Medium</x:v>
      </x:c>
      <x:c r="U18" s="22" t="str">
        <x:f>IF(D18="Hired","Complete onboarding",IF(D18="Rejected","Close record &amp; capture feedback",IF(AND(D18="Offer",J18&gt;3),"Follow up on offer today",IF(D18="Offer","Track offer acceptance",IF(AND(D18="Interview",J18&gt;5),"Collect interview feedback",IF(D18="Interview","Schedule next round",IF(AND(D18="Screening",J18&gt;5),"Complete screening today",IF(D18="Screening","Screen candidate",IF(AND(D18="Applied",J18&gt;3),"Review profile today","Review profile")))))))))</x:f>
        <x:v>Complete screening today</x:v>
      </x:c>
    </x:row>
    <x:row r="19" ht="22" customHeight="1">
      <x:c r="A19" s="13" t="n">
        <x:v>18</x:v>
      </x:c>
      <x:c r="B19" s="13" t="str">
        <x:v>Shreya Roy</x:v>
      </x:c>
      <x:c r="C19" s="13" t="str">
        <x:v>Finance</x:v>
      </x:c>
      <x:c r="D19" s="13" t="str">
        <x:v>Interview</x:v>
      </x:c>
      <x:c r="E19" s="13" t="str">
        <x:v>Chennai</x:v>
      </x:c>
      <x:c r="F19" s="22" t="str">
        <x:v>Credit Analyst</x:v>
      </x:c>
      <x:c r="G19" s="13" t="str">
        <x:v>Kavya Nair</x:v>
      </x:c>
      <x:c r="H19" s="16" t="n">
        <x:v>46213</x:v>
      </x:c>
      <x:c r="I19" s="16" t="n">
        <x:v>46227</x:v>
      </x:c>
      <x:c r="J19" s="18" t="n">
        <x:f>MAX(0,TODAY()-I19)</x:f>
        <x:v>3</x:v>
      </x:c>
      <x:c r="K19" s="13" t="str">
        <x:v>Indeed</x:v>
      </x:c>
      <x:c r="L19" s="20" t="n">
        <x:v>4</x:v>
      </x:c>
      <x:c r="M19" s="18" t="n">
        <x:v>30</x:v>
      </x:c>
      <x:c r="N19" s="20" t="n">
        <x:v>8.7</x:v>
      </x:c>
      <x:c r="O19" s="22"/>
      <x:c r="P19" s="16"/>
      <x:c r="Q19" s="16"/>
      <x:c r="R19" s="18" t="n">
        <x:v>85</x:v>
      </x:c>
      <x:c r="S19" s="13" t="str">
        <x:f>IF(R19&gt;=80,"Strong Fit",IF(R19&gt;=60,"Review","Low Match"))</x:f>
        <x:v>Strong Fit</x:v>
      </x:c>
      <x:c r="T19" s="13" t="str">
        <x:f>IF(OR(D19="Hired",D19="Rejected"),"Closed",IF(OR(AND(D19="Offer",J19&gt;5),AND(M19&gt;=90,D19&lt;&gt;"Applied")),"High",IF(OR(J19&gt;7,M19&gt;=60),"Medium","Low")))</x:f>
        <x:v>Low</x:v>
      </x:c>
      <x:c r="U19" s="22" t="str">
        <x:f>IF(D19="Hired","Complete onboarding",IF(D19="Rejected","Close record &amp; capture feedback",IF(AND(D19="Offer",J19&gt;3),"Follow up on offer today",IF(D19="Offer","Track offer acceptance",IF(AND(D19="Interview",J19&gt;5),"Collect interview feedback",IF(D19="Interview","Schedule next round",IF(AND(D19="Screening",J19&gt;5),"Complete screening today",IF(D19="Screening","Screen candidate",IF(AND(D19="Applied",J19&gt;3),"Review profile today","Review profile")))))))))</x:f>
        <x:v>Schedule next round</x:v>
      </x:c>
    </x:row>
    <x:row r="20" ht="22" customHeight="1">
      <x:c r="A20" s="13" t="n">
        <x:v>19</x:v>
      </x:c>
      <x:c r="B20" s="13" t="str">
        <x:v>Nitin Deshmukh</x:v>
      </x:c>
      <x:c r="C20" s="13" t="str">
        <x:v>HR</x:v>
      </x:c>
      <x:c r="D20" s="13" t="str">
        <x:v>Rejected</x:v>
      </x:c>
      <x:c r="E20" s="13" t="str">
        <x:v>Bangalore</x:v>
      </x:c>
      <x:c r="F20" s="22" t="str">
        <x:v>HR Executive</x:v>
      </x:c>
      <x:c r="G20" s="13" t="str">
        <x:v>Meera Shah</x:v>
      </x:c>
      <x:c r="H20" s="16" t="n">
        <x:v>46208</x:v>
      </x:c>
      <x:c r="I20" s="16" t="n">
        <x:v>46224</x:v>
      </x:c>
      <x:c r="J20" s="18" t="n">
        <x:f>MAX(0,TODAY()-I20)</x:f>
        <x:v>6</x:v>
      </x:c>
      <x:c r="K20" s="13" t="str">
        <x:v>Careers Page</x:v>
      </x:c>
      <x:c r="L20" s="20" t="n">
        <x:v>5</x:v>
      </x:c>
      <x:c r="M20" s="18" t="n">
        <x:v>45</x:v>
      </x:c>
      <x:c r="N20" s="20" t="n">
        <x:v>6</x:v>
      </x:c>
      <x:c r="O20" s="22" t="str">
        <x:v>Compensation mismatch</x:v>
      </x:c>
      <x:c r="P20" s="16"/>
      <x:c r="Q20" s="16"/>
      <x:c r="R20" s="18" t="n">
        <x:v>62</x:v>
      </x:c>
      <x:c r="S20" s="13" t="str">
        <x:f>IF(R20&gt;=80,"Strong Fit",IF(R20&gt;=60,"Review","Low Match"))</x:f>
        <x:v>Review</x:v>
      </x:c>
      <x:c r="T20" s="13" t="str">
        <x:f>IF(OR(D20="Hired",D20="Rejected"),"Closed",IF(OR(AND(D20="Offer",J20&gt;5),AND(M20&gt;=90,D20&lt;&gt;"Applied")),"High",IF(OR(J20&gt;7,M20&gt;=60),"Medium","Low")))</x:f>
        <x:v>Closed</x:v>
      </x:c>
      <x:c r="U20" s="22" t="str">
        <x:f>IF(D20="Hired","Complete onboarding",IF(D20="Rejected","Close record &amp; capture feedback",IF(AND(D20="Offer",J20&gt;3),"Follow up on offer today",IF(D20="Offer","Track offer acceptance",IF(AND(D20="Interview",J20&gt;5),"Collect interview feedback",IF(D20="Interview","Schedule next round",IF(AND(D20="Screening",J20&gt;5),"Complete screening today",IF(D20="Screening","Screen candidate",IF(AND(D20="Applied",J20&gt;3),"Review profile today","Review profile")))))))))</x:f>
        <x:v>Close record &amp; capture feedback</x:v>
      </x:c>
    </x:row>
    <x:row r="21" ht="22" customHeight="1">
      <x:c r="A21" s="13" t="n">
        <x:v>20</x:v>
      </x:c>
      <x:c r="B21" s="13" t="str">
        <x:v>Swati Bansal</x:v>
      </x:c>
      <x:c r="C21" s="13" t="str">
        <x:v>Sales</x:v>
      </x:c>
      <x:c r="D21" s="13" t="str">
        <x:v>Hired</x:v>
      </x:c>
      <x:c r="E21" s="13" t="str">
        <x:v>Pune</x:v>
      </x:c>
      <x:c r="F21" s="22" t="str">
        <x:v>Sales Manager</x:v>
      </x:c>
      <x:c r="G21" s="13" t="str">
        <x:v>Kavya Nair</x:v>
      </x:c>
      <x:c r="H21" s="16" t="n">
        <x:v>46197</x:v>
      </x:c>
      <x:c r="I21" s="16" t="n">
        <x:v>46229</x:v>
      </x:c>
      <x:c r="J21" s="18" t="n">
        <x:f>MAX(0,TODAY()-I21)</x:f>
        <x:v>1</x:v>
      </x:c>
      <x:c r="K21" s="13" t="str">
        <x:v>Indeed</x:v>
      </x:c>
      <x:c r="L21" s="20" t="n">
        <x:v>3.5</x:v>
      </x:c>
      <x:c r="M21" s="18" t="n">
        <x:v>15</x:v>
      </x:c>
      <x:c r="N21" s="20" t="n">
        <x:v>8.8</x:v>
      </x:c>
      <x:c r="O21" s="22"/>
      <x:c r="P21" s="16" t="n">
        <x:v>46221</x:v>
      </x:c>
      <x:c r="Q21" s="16" t="n">
        <x:v>46229</x:v>
      </x:c>
      <x:c r="R21" s="18" t="n">
        <x:v>88</x:v>
      </x:c>
      <x:c r="S21" s="13" t="str">
        <x:f>IF(R21&gt;=80,"Strong Fit",IF(R21&gt;=60,"Review","Low Match"))</x:f>
        <x:v>Strong Fit</x:v>
      </x:c>
      <x:c r="T21" s="13" t="str">
        <x:f>IF(OR(D21="Hired",D21="Rejected"),"Closed",IF(OR(AND(D21="Offer",J21&gt;5),AND(M21&gt;=90,D21&lt;&gt;"Applied")),"High",IF(OR(J21&gt;7,M21&gt;=60),"Medium","Low")))</x:f>
        <x:v>Closed</x:v>
      </x:c>
      <x:c r="U21" s="22" t="str">
        <x:f>IF(D21="Hired","Complete onboarding",IF(D21="Rejected","Close record &amp; capture feedback",IF(AND(D21="Offer",J21&gt;3),"Follow up on offer today",IF(D21="Offer","Track offer acceptance",IF(AND(D21="Interview",J21&gt;5),"Collect interview feedback",IF(D21="Interview","Schedule next round",IF(AND(D21="Screening",J21&gt;5),"Complete screening today",IF(D21="Screening","Screen candidate",IF(AND(D21="Applied",J21&gt;3),"Review profile today","Review profile")))))))))</x:f>
        <x:v>Complete onboarding</x:v>
      </x:c>
    </x:row>
    <x:row r="22" ht="22" customHeight="1">
      <x:c r="A22" s="13" t="n">
        <x:v>21</x:v>
      </x:c>
      <x:c r="B22" s="13" t="str">
        <x:v>Karthik Rao</x:v>
      </x:c>
      <x:c r="C22" s="13" t="str">
        <x:v>Finance</x:v>
      </x:c>
      <x:c r="D22" s="13" t="str">
        <x:v>Applied</x:v>
      </x:c>
      <x:c r="E22" s="13" t="str">
        <x:v>Delhi</x:v>
      </x:c>
      <x:c r="F22" s="22" t="str">
        <x:v>Tax Analyst</x:v>
      </x:c>
      <x:c r="G22" s="13" t="str">
        <x:v>Aisha Khan</x:v>
      </x:c>
      <x:c r="H22" s="16" t="n">
        <x:v>46226</x:v>
      </x:c>
      <x:c r="I22" s="16" t="n">
        <x:v>46228</x:v>
      </x:c>
      <x:c r="J22" s="18" t="n">
        <x:f>MAX(0,TODAY()-I22)</x:f>
        <x:v>2</x:v>
      </x:c>
      <x:c r="K22" s="13" t="str">
        <x:v>LinkedIn</x:v>
      </x:c>
      <x:c r="L22" s="20" t="n">
        <x:v>4.5</x:v>
      </x:c>
      <x:c r="M22" s="18" t="n">
        <x:v>30</x:v>
      </x:c>
      <x:c r="N22" s="20"/>
      <x:c r="O22" s="22"/>
      <x:c r="P22" s="16"/>
      <x:c r="Q22" s="16"/>
      <x:c r="R22" s="18" t="n">
        <x:v>81</x:v>
      </x:c>
      <x:c r="S22" s="13" t="str">
        <x:f>IF(R22&gt;=80,"Strong Fit",IF(R22&gt;=60,"Review","Low Match"))</x:f>
        <x:v>Strong Fit</x:v>
      </x:c>
      <x:c r="T22" s="13" t="str">
        <x:f>IF(OR(D22="Hired",D22="Rejected"),"Closed",IF(OR(AND(D22="Offer",J22&gt;5),AND(M22&gt;=90,D22&lt;&gt;"Applied")),"High",IF(OR(J22&gt;7,M22&gt;=60),"Medium","Low")))</x:f>
        <x:v>Low</x:v>
      </x:c>
      <x:c r="U22" s="22" t="str">
        <x:f>IF(D22="Hired","Complete onboarding",IF(D22="Rejected","Close record &amp; capture feedback",IF(AND(D22="Offer",J22&gt;3),"Follow up on offer today",IF(D22="Offer","Track offer acceptance",IF(AND(D22="Interview",J22&gt;5),"Collect interview feedback",IF(D22="Interview","Schedule next round",IF(AND(D22="Screening",J22&gt;5),"Complete screening today",IF(D22="Screening","Screen candidate",IF(AND(D22="Applied",J22&gt;3),"Review profile today","Review profile")))))))))</x:f>
        <x:v>Review profile</x:v>
      </x:c>
    </x:row>
    <x:row r="23" ht="22" customHeight="1">
      <x:c r="A23" s="13" t="n">
        <x:v>22</x:v>
      </x:c>
      <x:c r="B23" s="13" t="str">
        <x:v>Deepika Sharma</x:v>
      </x:c>
      <x:c r="C23" s="13" t="str">
        <x:v>IT</x:v>
      </x:c>
      <x:c r="D23" s="13" t="str">
        <x:v>Screening</x:v>
      </x:c>
      <x:c r="E23" s="13" t="str">
        <x:v>Mumbai</x:v>
      </x:c>
      <x:c r="F23" s="22" t="str">
        <x:v>Full Stack Developer</x:v>
      </x:c>
      <x:c r="G23" s="13" t="str">
        <x:v>Meera Shah</x:v>
      </x:c>
      <x:c r="H23" s="16" t="n">
        <x:v>46218</x:v>
      </x:c>
      <x:c r="I23" s="16" t="n">
        <x:v>46225</x:v>
      </x:c>
      <x:c r="J23" s="18" t="n">
        <x:f>MAX(0,TODAY()-I23)</x:f>
        <x:v>5</x:v>
      </x:c>
      <x:c r="K23" s="13" t="str">
        <x:v>Naukri</x:v>
      </x:c>
      <x:c r="L23" s="20" t="n">
        <x:v>3</x:v>
      </x:c>
      <x:c r="M23" s="18" t="n">
        <x:v>60</x:v>
      </x:c>
      <x:c r="N23" s="20"/>
      <x:c r="O23" s="22"/>
      <x:c r="P23" s="16"/>
      <x:c r="Q23" s="16"/>
      <x:c r="R23" s="18" t="n">
        <x:v>76</x:v>
      </x:c>
      <x:c r="S23" s="13" t="str">
        <x:f>IF(R23&gt;=80,"Strong Fit",IF(R23&gt;=60,"Review","Low Match"))</x:f>
        <x:v>Review</x:v>
      </x:c>
      <x:c r="T23" s="13" t="str">
        <x:f>IF(OR(D23="Hired",D23="Rejected"),"Closed",IF(OR(AND(D23="Offer",J23&gt;5),AND(M23&gt;=90,D23&lt;&gt;"Applied")),"High",IF(OR(J23&gt;7,M23&gt;=60),"Medium","Low")))</x:f>
        <x:v>Medium</x:v>
      </x:c>
      <x:c r="U23" s="22" t="str">
        <x:f>IF(D23="Hired","Complete onboarding",IF(D23="Rejected","Close record &amp; capture feedback",IF(AND(D23="Offer",J23&gt;3),"Follow up on offer today",IF(D23="Offer","Track offer acceptance",IF(AND(D23="Interview",J23&gt;5),"Collect interview feedback",IF(D23="Interview","Schedule next round",IF(AND(D23="Screening",J23&gt;5),"Complete screening today",IF(D23="Screening","Screen candidate",IF(AND(D23="Applied",J23&gt;3),"Review profile today","Review profile")))))))))</x:f>
        <x:v>Screen candidate</x:v>
      </x:c>
    </x:row>
    <x:row r="24" ht="22" customHeight="1">
      <x:c r="A24" s="13" t="n">
        <x:v>23</x:v>
      </x:c>
      <x:c r="B24" s="13" t="str">
        <x:v>Gaurav Yadav</x:v>
      </x:c>
      <x:c r="C24" s="13" t="str">
        <x:v>Sales</x:v>
      </x:c>
      <x:c r="D24" s="13" t="str">
        <x:v>Interview</x:v>
      </x:c>
      <x:c r="E24" s="13" t="str">
        <x:v>Hyderabad</x:v>
      </x:c>
      <x:c r="F24" s="22" t="str">
        <x:v>Key Account Executive</x:v>
      </x:c>
      <x:c r="G24" s="13" t="str">
        <x:v>Rohan Mehta</x:v>
      </x:c>
      <x:c r="H24" s="16" t="n">
        <x:v>46210</x:v>
      </x:c>
      <x:c r="I24" s="16" t="n">
        <x:v>46224</x:v>
      </x:c>
      <x:c r="J24" s="18" t="n">
        <x:f>MAX(0,TODAY()-I24)</x:f>
        <x:v>6</x:v>
      </x:c>
      <x:c r="K24" s="13" t="str">
        <x:v>LinkedIn</x:v>
      </x:c>
      <x:c r="L24" s="20" t="n">
        <x:v>3.5</x:v>
      </x:c>
      <x:c r="M24" s="18" t="n">
        <x:v>45</x:v>
      </x:c>
      <x:c r="N24" s="20" t="n">
        <x:v>8.3</x:v>
      </x:c>
      <x:c r="O24" s="22"/>
      <x:c r="P24" s="16"/>
      <x:c r="Q24" s="16"/>
      <x:c r="R24" s="18" t="n">
        <x:v>83</x:v>
      </x:c>
      <x:c r="S24" s="13" t="str">
        <x:f>IF(R24&gt;=80,"Strong Fit",IF(R24&gt;=60,"Review","Low Match"))</x:f>
        <x:v>Strong Fit</x:v>
      </x:c>
      <x:c r="T24" s="13" t="str">
        <x:f>IF(OR(D24="Hired",D24="Rejected"),"Closed",IF(OR(AND(D24="Offer",J24&gt;5),AND(M24&gt;=90,D24&lt;&gt;"Applied")),"High",IF(OR(J24&gt;7,M24&gt;=60),"Medium","Low")))</x:f>
        <x:v>Low</x:v>
      </x:c>
      <x:c r="U24" s="22" t="str">
        <x:f>IF(D24="Hired","Complete onboarding",IF(D24="Rejected","Close record &amp; capture feedback",IF(AND(D24="Offer",J24&gt;3),"Follow up on offer today",IF(D24="Offer","Track offer acceptance",IF(AND(D24="Interview",J24&gt;5),"Collect interview feedback",IF(D24="Interview","Schedule next round",IF(AND(D24="Screening",J24&gt;5),"Complete screening today",IF(D24="Screening","Screen candidate",IF(AND(D24="Applied",J24&gt;3),"Review profile today","Review profile")))))))))</x:f>
        <x:v>Collect interview feedback</x:v>
      </x:c>
    </x:row>
    <x:row r="25" ht="22" customHeight="1">
      <x:c r="A25" s="13" t="n">
        <x:v>24</x:v>
      </x:c>
      <x:c r="B25" s="13" t="str">
        <x:v>Ishita Kapoor</x:v>
      </x:c>
      <x:c r="C25" s="13" t="str">
        <x:v>HR</x:v>
      </x:c>
      <x:c r="D25" s="13" t="str">
        <x:v>Offer</x:v>
      </x:c>
      <x:c r="E25" s="13" t="str">
        <x:v>Chennai</x:v>
      </x:c>
      <x:c r="F25" s="22" t="str">
        <x:v>HR Coordinator</x:v>
      </x:c>
      <x:c r="G25" s="13" t="str">
        <x:v>Aisha Khan</x:v>
      </x:c>
      <x:c r="H25" s="16" t="n">
        <x:v>46205</x:v>
      </x:c>
      <x:c r="I25" s="16" t="n">
        <x:v>46226</x:v>
      </x:c>
      <x:c r="J25" s="18" t="n">
        <x:f>MAX(0,TODAY()-I25)</x:f>
        <x:v>4</x:v>
      </x:c>
      <x:c r="K25" s="13" t="str">
        <x:v>Careers Page</x:v>
      </x:c>
      <x:c r="L25" s="20" t="n">
        <x:v>5.5</x:v>
      </x:c>
      <x:c r="M25" s="18" t="n">
        <x:v>90</x:v>
      </x:c>
      <x:c r="N25" s="20" t="n">
        <x:v>9.2</x:v>
      </x:c>
      <x:c r="O25" s="22"/>
      <x:c r="P25" s="16" t="n">
        <x:v>46226</x:v>
      </x:c>
      <x:c r="Q25" s="16"/>
      <x:c r="R25" s="18" t="n">
        <x:v>90</x:v>
      </x:c>
      <x:c r="S25" s="13" t="str">
        <x:f>IF(R25&gt;=80,"Strong Fit",IF(R25&gt;=60,"Review","Low Match"))</x:f>
        <x:v>Strong Fit</x:v>
      </x:c>
      <x:c r="T25" s="13" t="str">
        <x:f>IF(OR(D25="Hired",D25="Rejected"),"Closed",IF(OR(AND(D25="Offer",J25&gt;5),AND(M25&gt;=90,D25&lt;&gt;"Applied")),"High",IF(OR(J25&gt;7,M25&gt;=60),"Medium","Low")))</x:f>
        <x:v>High</x:v>
      </x:c>
      <x:c r="U25" s="22" t="str">
        <x:f>IF(D25="Hired","Complete onboarding",IF(D25="Rejected","Close record &amp; capture feedback",IF(AND(D25="Offer",J25&gt;3),"Follow up on offer today",IF(D25="Offer","Track offer acceptance",IF(AND(D25="Interview",J25&gt;5),"Collect interview feedback",IF(D25="Interview","Schedule next round",IF(AND(D25="Screening",J25&gt;5),"Complete screening today",IF(D25="Screening","Screen candidate",IF(AND(D25="Applied",J25&gt;3),"Review profile today","Review profile")))))))))</x:f>
        <x:v>Follow up on offer today</x:v>
      </x:c>
    </x:row>
    <x:row r="26" ht="22" customHeight="1">
      <x:c r="A26" s="13" t="n">
        <x:v>25</x:v>
      </x:c>
      <x:c r="B26" s="13" t="str">
        <x:v>Sanjay Pillai</x:v>
      </x:c>
      <x:c r="C26" s="13" t="str">
        <x:v>Finance</x:v>
      </x:c>
      <x:c r="D26" s="13" t="str">
        <x:v>Hired</x:v>
      </x:c>
      <x:c r="E26" s="13" t="str">
        <x:v>Kolkata</x:v>
      </x:c>
      <x:c r="F26" s="22" t="str">
        <x:v>Treasury Analyst</x:v>
      </x:c>
      <x:c r="G26" s="13" t="str">
        <x:v>Kavya Nair</x:v>
      </x:c>
      <x:c r="H26" s="16" t="n">
        <x:v>46196</x:v>
      </x:c>
      <x:c r="I26" s="16" t="n">
        <x:v>46228</x:v>
      </x:c>
      <x:c r="J26" s="18" t="n">
        <x:f>MAX(0,TODAY()-I26)</x:f>
        <x:v>2</x:v>
      </x:c>
      <x:c r="K26" s="13" t="str">
        <x:v>Naukri</x:v>
      </x:c>
      <x:c r="L26" s="20" t="n">
        <x:v>6.5</x:v>
      </x:c>
      <x:c r="M26" s="18" t="n">
        <x:v>30</x:v>
      </x:c>
      <x:c r="N26" s="20" t="n">
        <x:v>9</x:v>
      </x:c>
      <x:c r="O26" s="22"/>
      <x:c r="P26" s="16" t="n">
        <x:v>46220</x:v>
      </x:c>
      <x:c r="Q26" s="16" t="n">
        <x:v>46228</x:v>
      </x:c>
      <x:c r="R26" s="18" t="n">
        <x:v>92</x:v>
      </x:c>
      <x:c r="S26" s="13" t="str">
        <x:f>IF(R26&gt;=80,"Strong Fit",IF(R26&gt;=60,"Review","Low Match"))</x:f>
        <x:v>Strong Fit</x:v>
      </x:c>
      <x:c r="T26" s="13" t="str">
        <x:f>IF(OR(D26="Hired",D26="Rejected"),"Closed",IF(OR(AND(D26="Offer",J26&gt;5),AND(M26&gt;=90,D26&lt;&gt;"Applied")),"High",IF(OR(J26&gt;7,M26&gt;=60),"Medium","Low")))</x:f>
        <x:v>Closed</x:v>
      </x:c>
      <x:c r="U26" s="22" t="str">
        <x:f>IF(D26="Hired","Complete onboarding",IF(D26="Rejected","Close record &amp; capture feedback",IF(AND(D26="Offer",J26&gt;3),"Follow up on offer today",IF(D26="Offer","Track offer acceptance",IF(AND(D26="Interview",J26&gt;5),"Collect interview feedback",IF(D26="Interview","Schedule next round",IF(AND(D26="Screening",J26&gt;5),"Complete screening today",IF(D26="Screening","Screen candidate",IF(AND(D26="Applied",J26&gt;3),"Review profile today","Review profile")))))))))</x:f>
        <x:v>Complete onboarding</x:v>
      </x:c>
    </x:row>
    <x:row r="27" ht="22" customHeight="1">
      <x:c r="A27" s="13" t="n">
        <x:v>26</x:v>
      </x:c>
      <x:c r="B27" s="13" t="str">
        <x:v>Komal Bhatia</x:v>
      </x:c>
      <x:c r="C27" s="13" t="str">
        <x:v>Sales</x:v>
      </x:c>
      <x:c r="D27" s="13" t="str">
        <x:v>Applied</x:v>
      </x:c>
      <x:c r="E27" s="13" t="str">
        <x:v>Bangalore</x:v>
      </x:c>
      <x:c r="F27" s="22" t="str">
        <x:v>Regional Sales Executive</x:v>
      </x:c>
      <x:c r="G27" s="13" t="str">
        <x:v>Kavya Nair</x:v>
      </x:c>
      <x:c r="H27" s="16" t="n">
        <x:v>46219</x:v>
      </x:c>
      <x:c r="I27" s="16" t="n">
        <x:v>46221</x:v>
      </x:c>
      <x:c r="J27" s="18" t="n">
        <x:f>MAX(0,TODAY()-I27)</x:f>
        <x:v>9</x:v>
      </x:c>
      <x:c r="K27" s="13" t="str">
        <x:v>Referral</x:v>
      </x:c>
      <x:c r="L27" s="20" t="n">
        <x:v>2.5</x:v>
      </x:c>
      <x:c r="M27" s="18" t="n">
        <x:v>60</x:v>
      </x:c>
      <x:c r="N27" s="20"/>
      <x:c r="O27" s="22"/>
      <x:c r="P27" s="16"/>
      <x:c r="Q27" s="16"/>
      <x:c r="R27" s="18" t="n">
        <x:v>64</x:v>
      </x:c>
      <x:c r="S27" s="13" t="str">
        <x:f>IF(R27&gt;=80,"Strong Fit",IF(R27&gt;=60,"Review","Low Match"))</x:f>
        <x:v>Review</x:v>
      </x:c>
      <x:c r="T27" s="13" t="str">
        <x:f>IF(OR(D27="Hired",D27="Rejected"),"Closed",IF(OR(AND(D27="Offer",J27&gt;5),AND(M27&gt;=90,D27&lt;&gt;"Applied")),"High",IF(OR(J27&gt;7,M27&gt;=60),"Medium","Low")))</x:f>
        <x:v>Medium</x:v>
      </x:c>
      <x:c r="U27" s="22" t="str">
        <x:f>IF(D27="Hired","Complete onboarding",IF(D27="Rejected","Close record &amp; capture feedback",IF(AND(D27="Offer",J27&gt;3),"Follow up on offer today",IF(D27="Offer","Track offer acceptance",IF(AND(D27="Interview",J27&gt;5),"Collect interview feedback",IF(D27="Interview","Schedule next round",IF(AND(D27="Screening",J27&gt;5),"Complete screening today",IF(D27="Screening","Screen candidate",IF(AND(D27="Applied",J27&gt;3),"Review profile today","Review profile")))))))))</x:f>
        <x:v>Review profile today</x:v>
      </x:c>
    </x:row>
    <x:row r="28" ht="22" customHeight="1">
      <x:c r="A28" s="13" t="n">
        <x:v>27</x:v>
      </x:c>
      <x:c r="B28" s="13" t="str">
        <x:v>Harish Rathore</x:v>
      </x:c>
      <x:c r="C28" s="13" t="str">
        <x:v>IT</x:v>
      </x:c>
      <x:c r="D28" s="13" t="str">
        <x:v>Screening</x:v>
      </x:c>
      <x:c r="E28" s="13" t="str">
        <x:v>Pune</x:v>
      </x:c>
      <x:c r="F28" s="22" t="str">
        <x:v>Support Engineer</x:v>
      </x:c>
      <x:c r="G28" s="13" t="str">
        <x:v>Rohan Mehta</x:v>
      </x:c>
      <x:c r="H28" s="16" t="n">
        <x:v>46213</x:v>
      </x:c>
      <x:c r="I28" s="16" t="n">
        <x:v>46220</x:v>
      </x:c>
      <x:c r="J28" s="18" t="n">
        <x:f>MAX(0,TODAY()-I28)</x:f>
        <x:v>10</x:v>
      </x:c>
      <x:c r="K28" s="13" t="str">
        <x:v>Naukri</x:v>
      </x:c>
      <x:c r="L28" s="20" t="n">
        <x:v>4</x:v>
      </x:c>
      <x:c r="M28" s="18" t="n">
        <x:v>90</x:v>
      </x:c>
      <x:c r="N28" s="20"/>
      <x:c r="O28" s="22"/>
      <x:c r="P28" s="16"/>
      <x:c r="Q28" s="16"/>
      <x:c r="R28" s="18" t="n">
        <x:v>69</x:v>
      </x:c>
      <x:c r="S28" s="13" t="str">
        <x:f>IF(R28&gt;=80,"Strong Fit",IF(R28&gt;=60,"Review","Low Match"))</x:f>
        <x:v>Review</x:v>
      </x:c>
      <x:c r="T28" s="13" t="str">
        <x:f>IF(OR(D28="Hired",D28="Rejected"),"Closed",IF(OR(AND(D28="Offer",J28&gt;5),AND(M28&gt;=90,D28&lt;&gt;"Applied")),"High",IF(OR(J28&gt;7,M28&gt;=60),"Medium","Low")))</x:f>
        <x:v>High</x:v>
      </x:c>
      <x:c r="U28" s="22" t="str">
        <x:f>IF(D28="Hired","Complete onboarding",IF(D28="Rejected","Close record &amp; capture feedback",IF(AND(D28="Offer",J28&gt;3),"Follow up on offer today",IF(D28="Offer","Track offer acceptance",IF(AND(D28="Interview",J28&gt;5),"Collect interview feedback",IF(D28="Interview","Schedule next round",IF(AND(D28="Screening",J28&gt;5),"Complete screening today",IF(D28="Screening","Screen candidate",IF(AND(D28="Applied",J28&gt;3),"Review profile today","Review profile")))))))))</x:f>
        <x:v>Complete screening today</x:v>
      </x:c>
    </x:row>
    <x:row r="29" ht="22" customHeight="1">
      <x:c r="A29" s="13" t="n">
        <x:v>28</x:v>
      </x:c>
      <x:c r="B29" s="13" t="str">
        <x:v>Ritika Sinha</x:v>
      </x:c>
      <x:c r="C29" s="13" t="str">
        <x:v>HR</x:v>
      </x:c>
      <x:c r="D29" s="13" t="str">
        <x:v>Interview</x:v>
      </x:c>
      <x:c r="E29" s="13" t="str">
        <x:v>Delhi</x:v>
      </x:c>
      <x:c r="F29" s="22" t="str">
        <x:v>Recruiter</x:v>
      </x:c>
      <x:c r="G29" s="13" t="str">
        <x:v>Meera Shah</x:v>
      </x:c>
      <x:c r="H29" s="16" t="n">
        <x:v>46211</x:v>
      </x:c>
      <x:c r="I29" s="16" t="n">
        <x:v>46225</x:v>
      </x:c>
      <x:c r="J29" s="18" t="n">
        <x:f>MAX(0,TODAY()-I29)</x:f>
        <x:v>5</x:v>
      </x:c>
      <x:c r="K29" s="13" t="str">
        <x:v>LinkedIn</x:v>
      </x:c>
      <x:c r="L29" s="20" t="n">
        <x:v>3.5</x:v>
      </x:c>
      <x:c r="M29" s="18" t="n">
        <x:v>30</x:v>
      </x:c>
      <x:c r="N29" s="20" t="n">
        <x:v>8.4</x:v>
      </x:c>
      <x:c r="O29" s="22"/>
      <x:c r="P29" s="16"/>
      <x:c r="Q29" s="16"/>
      <x:c r="R29" s="18" t="n">
        <x:v>86</x:v>
      </x:c>
      <x:c r="S29" s="13" t="str">
        <x:f>IF(R29&gt;=80,"Strong Fit",IF(R29&gt;=60,"Review","Low Match"))</x:f>
        <x:v>Strong Fit</x:v>
      </x:c>
      <x:c r="T29" s="13" t="str">
        <x:f>IF(OR(D29="Hired",D29="Rejected"),"Closed",IF(OR(AND(D29="Offer",J29&gt;5),AND(M29&gt;=90,D29&lt;&gt;"Applied")),"High",IF(OR(J29&gt;7,M29&gt;=60),"Medium","Low")))</x:f>
        <x:v>Low</x:v>
      </x:c>
      <x:c r="U29" s="22" t="str">
        <x:f>IF(D29="Hired","Complete onboarding",IF(D29="Rejected","Close record &amp; capture feedback",IF(AND(D29="Offer",J29&gt;3),"Follow up on offer today",IF(D29="Offer","Track offer acceptance",IF(AND(D29="Interview",J29&gt;5),"Collect interview feedback",IF(D29="Interview","Schedule next round",IF(AND(D29="Screening",J29&gt;5),"Complete screening today",IF(D29="Screening","Screen candidate",IF(AND(D29="Applied",J29&gt;3),"Review profile today","Review profile")))))))))</x:f>
        <x:v>Schedule next round</x:v>
      </x:c>
    </x:row>
    <x:row r="30" ht="22" customHeight="1">
      <x:c r="A30" s="13" t="n">
        <x:v>29</x:v>
      </x:c>
      <x:c r="B30" s="13" t="str">
        <x:v>Abhinav Kapoor</x:v>
      </x:c>
      <x:c r="C30" s="13" t="str">
        <x:v>Finance</x:v>
      </x:c>
      <x:c r="D30" s="13" t="str">
        <x:v>Offer</x:v>
      </x:c>
      <x:c r="E30" s="13" t="str">
        <x:v>Mumbai</x:v>
      </x:c>
      <x:c r="F30" s="22" t="str">
        <x:v>Financial Analyst</x:v>
      </x:c>
      <x:c r="G30" s="13" t="str">
        <x:v>Aisha Khan</x:v>
      </x:c>
      <x:c r="H30" s="16" t="n">
        <x:v>46201</x:v>
      </x:c>
      <x:c r="I30" s="16" t="n">
        <x:v>46222</x:v>
      </x:c>
      <x:c r="J30" s="18" t="n">
        <x:f>MAX(0,TODAY()-I30)</x:f>
        <x:v>8</x:v>
      </x:c>
      <x:c r="K30" s="13" t="str">
        <x:v>Referral</x:v>
      </x:c>
      <x:c r="L30" s="20" t="n">
        <x:v>5</x:v>
      </x:c>
      <x:c r="M30" s="18" t="n">
        <x:v>60</x:v>
      </x:c>
      <x:c r="N30" s="20" t="n">
        <x:v>7.8</x:v>
      </x:c>
      <x:c r="O30" s="22"/>
      <x:c r="P30" s="16" t="n">
        <x:v>46222</x:v>
      </x:c>
      <x:c r="Q30" s="16"/>
      <x:c r="R30" s="18" t="n">
        <x:v>78</x:v>
      </x:c>
      <x:c r="S30" s="13" t="str">
        <x:f>IF(R30&gt;=80,"Strong Fit",IF(R30&gt;=60,"Review","Low Match"))</x:f>
        <x:v>Review</x:v>
      </x:c>
      <x:c r="T30" s="13" t="str">
        <x:f>IF(OR(D30="Hired",D30="Rejected"),"Closed",IF(OR(AND(D30="Offer",J30&gt;5),AND(M30&gt;=90,D30&lt;&gt;"Applied")),"High",IF(OR(J30&gt;7,M30&gt;=60),"Medium","Low")))</x:f>
        <x:v>High</x:v>
      </x:c>
      <x:c r="U30" s="22" t="str">
        <x:f>IF(D30="Hired","Complete onboarding",IF(D30="Rejected","Close record &amp; capture feedback",IF(AND(D30="Offer",J30&gt;3),"Follow up on offer today",IF(D30="Offer","Track offer acceptance",IF(AND(D30="Interview",J30&gt;5),"Collect interview feedback",IF(D30="Interview","Schedule next round",IF(AND(D30="Screening",J30&gt;5),"Complete screening today",IF(D30="Screening","Screen candidate",IF(AND(D30="Applied",J30&gt;3),"Review profile today","Review profile")))))))))</x:f>
        <x:v>Follow up on offer today</x:v>
      </x:c>
    </x:row>
    <x:row r="31" ht="22" customHeight="1">
      <x:c r="A31" s="13" t="n">
        <x:v>30</x:v>
      </x:c>
      <x:c r="B31" s="13" t="str">
        <x:v>Tanya Bhatt</x:v>
      </x:c>
      <x:c r="C31" s="13" t="str">
        <x:v>Sales</x:v>
      </x:c>
      <x:c r="D31" s="13" t="str">
        <x:v>Rejected</x:v>
      </x:c>
      <x:c r="E31" s="13" t="str">
        <x:v>Hyderabad</x:v>
      </x:c>
      <x:c r="F31" s="22" t="str">
        <x:v>Sales Operations Analyst</x:v>
      </x:c>
      <x:c r="G31" s="13" t="str">
        <x:v>Rohan Mehta</x:v>
      </x:c>
      <x:c r="H31" s="16" t="n">
        <x:v>46210</x:v>
      </x:c>
      <x:c r="I31" s="16" t="n">
        <x:v>46226</x:v>
      </x:c>
      <x:c r="J31" s="18" t="n">
        <x:f>MAX(0,TODAY()-I31)</x:f>
        <x:v>4</x:v>
      </x:c>
      <x:c r="K31" s="13" t="str">
        <x:v>Indeed</x:v>
      </x:c>
      <x:c r="L31" s="20" t="n">
        <x:v>2.5</x:v>
      </x:c>
      <x:c r="M31" s="18" t="n">
        <x:v>45</x:v>
      </x:c>
      <x:c r="N31" s="20" t="n">
        <x:v>6.3</x:v>
      </x:c>
      <x:c r="O31" s="22" t="str">
        <x:v>Candidate withdrew</x:v>
      </x:c>
      <x:c r="P31" s="16"/>
      <x:c r="Q31" s="16"/>
      <x:c r="R31" s="18" t="n">
        <x:v>61</x:v>
      </x:c>
      <x:c r="S31" s="13" t="str">
        <x:f>IF(R31&gt;=80,"Strong Fit",IF(R31&gt;=60,"Review","Low Match"))</x:f>
        <x:v>Review</x:v>
      </x:c>
      <x:c r="T31" s="13" t="str">
        <x:f>IF(OR(D31="Hired",D31="Rejected"),"Closed",IF(OR(AND(D31="Offer",J31&gt;5),AND(M31&gt;=90,D31&lt;&gt;"Applied")),"High",IF(OR(J31&gt;7,M31&gt;=60),"Medium","Low")))</x:f>
        <x:v>Closed</x:v>
      </x:c>
      <x:c r="U31" s="22" t="str">
        <x:f>IF(D31="Hired","Complete onboarding",IF(D31="Rejected","Close record &amp; capture feedback",IF(AND(D31="Offer",J31&gt;3),"Follow up on offer today",IF(D31="Offer","Track offer acceptance",IF(AND(D31="Interview",J31&gt;5),"Collect interview feedback",IF(D31="Interview","Schedule next round",IF(AND(D31="Screening",J31&gt;5),"Complete screening today",IF(D31="Screening","Screen candidate",IF(AND(D31="Applied",J31&gt;3),"Review profile today","Review profile")))))))))</x:f>
        <x:v>Close record &amp; capture feedback</x:v>
      </x:c>
    </x:row>
    <x:row r="33">
      <x:c r="A33" s="28" t="str">
        <x:v>Note: AI Match Score is demo data for this sample dashboard. Replace it with output from your resume-to-job matching model. Smart insights use transparent Excel rules and should support—not replace—recruiter judgement.</x:v>
      </x:c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</x:row>
  </x:sheetData>
  <x:mergeCells>
    <x:mergeCell ref="A33:U34"/>
  </x:mergeCells>
  <x:conditionalFormatting sqref="D2:D200">
    <x:cfRule type="expression" dxfId="0" priority="1">
      <x:formula>D2="Applied"</x:formula>
    </x:cfRule>
    <x:cfRule type="expression" dxfId="1" priority="2">
      <x:formula>D2="Screening"</x:formula>
    </x:cfRule>
    <x:cfRule type="expression" dxfId="2" priority="3">
      <x:formula>D2="Interview"</x:formula>
    </x:cfRule>
    <x:cfRule type="expression" dxfId="3" priority="4">
      <x:formula>D2="Offer"</x:formula>
    </x:cfRule>
    <x:cfRule type="expression" dxfId="4" priority="5">
      <x:formula>D2="Hired"</x:formula>
    </x:cfRule>
    <x:cfRule type="expression" dxfId="5" priority="6">
      <x:formula>D2="Rejected"</x:formula>
    </x:cfRule>
  </x:conditionalFormatting>
  <x:conditionalFormatting sqref="T2:T200">
    <x:cfRule type="expression" dxfId="6" priority="7">
      <x:formula>T2="High"</x:formula>
    </x:cfRule>
    <x:cfRule type="expression" dxfId="7" priority="8">
      <x:formula>T2="Medium"</x:formula>
    </x:cfRule>
    <x:cfRule type="expression" dxfId="8" priority="9">
      <x:formula>T2="Low"</x:formula>
    </x:cfRule>
    <x:cfRule type="expression" dxfId="9" priority="10">
      <x:formula>T2="Closed"</x:formula>
    </x:cfRule>
  </x:conditionalFormatting>
  <x:conditionalFormatting sqref="R2:R200">
    <x:cfRule type="dataBar" priority="11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{329BFD40-C3E2-C150-AB9F-60C9EBC5F1C3}</x14:id>
        </x:ext>
      </x:extLst>
    </x:cfRule>
  </x:conditionalFormatting>
  <x:conditionalFormatting sqref="J2:J200">
    <x:cfRule type="expression" dxfId="10" priority="12">
      <x:formula>J2&gt;7</x:formula>
    </x:cfRule>
    <x:cfRule type="expression" dxfId="11" priority="13">
      <x:formula>AND(J2&gt;4,J2&lt;=7)</x:formula>
    </x:cfRule>
  </x:conditionalFormatting>
  <x:dataValidations count="6">
    <x:dataValidation type="list" sqref="C2:C300">
      <x:formula1>Lists!$A$3:$A$6</x:formula1>
    </x:dataValidation>
    <x:dataValidation type="list" sqref="D2:D300">
      <x:formula1>Lists!$E$3:$E$8</x:formula1>
    </x:dataValidation>
    <x:dataValidation type="list" sqref="E2:E300">
      <x:formula1>Lists!$D$3:$D$9</x:formula1>
    </x:dataValidation>
    <x:dataValidation type="list" sqref="F2:F300">
      <x:formula1>Lists!$B$3:$B$32</x:formula1>
    </x:dataValidation>
    <x:dataValidation type="list" sqref="G2:G300">
      <x:formula1>Lists!$C$3:$C$6</x:formula1>
    </x:dataValidation>
    <x:dataValidation type="list" sqref="K2:K300">
      <x:formula1>Lists!$G$2:$G$6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3d9edf2c7c48b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1" id="{329BFD40-C3E2-C150-AB9F-60C9EBC5F1C3}">
            <x14:dataBar gradient="1">
              <x14:cfvo type="min"/>
              <x14:cfvo type="max"/>
              <x14:fillColor rgb="FF3B82F6"/>
            </x14:dataBar>
          </x14:cfRule>
          <xm:sqref>R2:R200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8" max="8" width="14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4" max="14" width="14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2" hidden="0" customWidth="1"/>
    <x:col min="23" max="23" width="11" hidden="0" customWidth="1"/>
    <x:col min="25" max="25" width="14" hidden="0" customWidth="1"/>
    <x:col min="26" max="26" width="12" hidden="0" customWidth="1"/>
    <x:col min="27" max="27" width="10" hidden="0" customWidth="1"/>
    <x:col min="28" max="28" width="10" hidden="0" customWidth="1"/>
    <x:col min="29" max="29" width="14" hidden="0" customWidth="1"/>
    <x:col min="30" max="30" width="15" hidden="0" customWidth="1"/>
    <x:col min="32" max="32" width="16" hidden="0" customWidth="1"/>
    <x:col min="33" max="33" width="12" hidden="0" customWidth="1"/>
    <x:col min="34" max="34" width="10" hidden="0" customWidth="1"/>
    <x:col min="35" max="35" width="10" hidden="0" customWidth="1"/>
    <x:col min="36" max="36" width="12" hidden="0" customWidth="1"/>
    <x:col min="38" max="38" width="22" hidden="0" customWidth="1"/>
    <x:col min="39" max="39" width="22" hidden="0" customWidth="1"/>
    <x:col min="40" max="40" width="12" hidden="0" customWidth="1"/>
  </x:cols>
  <x:sheetData>
    <x:row r="1" ht="25" customHeight="1">
      <x:c r="A1" s="6" t="str">
        <x:v>Candidate ID</x:v>
      </x:c>
      <x:c r="B1" s="6" t="str">
        <x:v>Include</x:v>
      </x:c>
      <x:c r="C1" s="6" t="str">
        <x:v>Action Priority</x:v>
      </x:c>
      <x:c r="H1" s="6" t="str">
        <x:v>Stage</x:v>
      </x:c>
      <x:c r="I1" s="6" t="str">
        <x:v>Count</x:v>
      </x:c>
      <x:c r="J1" s="6" t="str">
        <x:v>Offer</x:v>
      </x:c>
      <x:c r="K1" s="6" t="str">
        <x:v>Hired</x:v>
      </x:c>
      <x:c r="L1" s="6" t="str">
        <x:v>Rejected</x:v>
      </x:c>
      <x:c r="N1" s="6" t="str">
        <x:v>Department</x:v>
      </x:c>
      <x:c r="O1" s="6" t="str">
        <x:v>Applied</x:v>
      </x:c>
      <x:c r="P1" s="6" t="str">
        <x:v>Screening</x:v>
      </x:c>
      <x:c r="Q1" s="6" t="str">
        <x:v>Interview</x:v>
      </x:c>
      <x:c r="R1" s="6" t="str">
        <x:v>Offer</x:v>
      </x:c>
      <x:c r="S1" s="6" t="str">
        <x:v>Hired</x:v>
      </x:c>
      <x:c r="T1" s="6" t="str">
        <x:v>Rejected</x:v>
      </x:c>
      <x:c r="U1" s="6" t="str">
        <x:v>Total</x:v>
      </x:c>
      <x:c r="V1" s="6" t="str">
        <x:v>Hire Share</x:v>
      </x:c>
      <x:c r="W1" s="6" t="str">
        <x:v>Advanced</x:v>
      </x:c>
      <x:c r="Y1" s="6" t="str">
        <x:v>Location</x:v>
      </x:c>
      <x:c r="Z1" s="6" t="str">
        <x:v>Candidates</x:v>
      </x:c>
      <x:c r="AA1" s="6" t="str">
        <x:v>Hired</x:v>
      </x:c>
      <x:c r="AB1" s="6" t="str">
        <x:v>Rejected</x:v>
      </x:c>
      <x:c r="AC1" s="6" t="str">
        <x:v>Hiring Share</x:v>
      </x:c>
      <x:c r="AD1" s="6" t="str">
        <x:v>Rejection Share</x:v>
      </x:c>
      <x:c r="AF1" s="6" t="str">
        <x:v>Source</x:v>
      </x:c>
      <x:c r="AG1" s="6" t="str">
        <x:v>Candidates</x:v>
      </x:c>
      <x:c r="AH1" s="6" t="str">
        <x:v>Hired</x:v>
      </x:c>
      <x:c r="AI1" s="6" t="str">
        <x:v>Rejected</x:v>
      </x:c>
      <x:c r="AJ1" s="6" t="str">
        <x:v>Hire Rate</x:v>
      </x:c>
      <x:c r="AL1" s="6" t="str">
        <x:v>Insight</x:v>
      </x:c>
      <x:c r="AM1" s="6" t="str">
        <x:v>Text</x:v>
      </x:c>
      <x:c r="AN1" s="6" t="str">
        <x:v>Value</x:v>
      </x:c>
    </x:row>
    <x:row r="2">
      <x:c r="A2" s="12" t="n">
        <x:f>'Candidate Data'!A2</x:f>
        <x:v>1</x:v>
      </x:c>
      <x:c r="B2" s="12" t="n">
        <x:f>--AND(OR(Dashboard!$A$5="All Time",AND(Dashboard!$A$5="Last 30 Days",'Candidate Data'!$H2&gt;=TODAY()-30),AND(Dashboard!$A$5="Last 60 Days",'Candidate Data'!$H2&gt;=TODAY()-60),AND(Dashboard!$A$5="This Month",MONTH('Candidate Data'!$H2)=MONTH(TODAY()),YEAR('Candidate Data'!$H2)=YEAR(TODAY()))),OR(Dashboard!$C$5="All",'Candidate Data'!$C2=Dashboard!$C$5),OR(Dashboard!$E$5="All",'Candidate Data'!$F2=Dashboard!$E$5),OR(Dashboard!$G$5="All",'Candidate Data'!$G2=Dashboard!$G$5),OR(Dashboard!$I$5="All",'Candidate Data'!$E2=Dashboard!$I$5),OR(Dashboard!$K$5="All",'Candidate Data'!$D2=Dashboard!$K$5))</x:f>
        <x:v>1</x:v>
      </x:c>
      <x:c r="C2" s="12" t="n">
        <x:f>IF(OR(B2=0,'Candidate Data'!$T2="Low",'Candidate Data'!$T2="Closed"),0,IF('Candidate Data'!$T2="High",300,200)+'Candidate Data'!$J2+ROW()/10000)</x:f>
        <x:v>208.0002</x:v>
      </x:c>
      <x:c r="D2" s="12"/>
      <x:c r="E2" s="12"/>
      <x:c r="F2" s="12"/>
      <x:c r="G2" s="12"/>
      <x:c r="H2" s="12" t="str">
        <x:v>Rejected</x:v>
      </x:c>
      <x:c r="I2" s="12" t="n">
        <x:f>COUNTIFS($B$2:$B$31,1,'Candidate Data'!$D$2:$D$31,H2)</x:f>
        <x:v>3</x:v>
      </x:c>
      <x:c r="J2" s="12" t="str">
        <x:f>IF(H2="Offer",COUNTIFS($B$2:$B$31,1,'Candidate Data'!$D$2:$D$31,H2),"")</x:f>
      </x:c>
      <x:c r="K2" s="12" t="str">
        <x:f>IF(H2="Hired",COUNTIFS($B$2:$B$31,1,'Candidate Data'!$D$2:$D$31,H2),"")</x:f>
      </x:c>
      <x:c r="L2" s="12" t="n">
        <x:f>IF(H2="Rejected",COUNTIFS($B$2:$B$31,1,'Candidate Data'!$D$2:$D$31,H2),"")</x:f>
        <x:v>3</x:v>
      </x:c>
      <x:c r="M2" s="12"/>
      <x:c r="N2" s="12" t="str">
        <x:v>HR</x:v>
      </x:c>
      <x:c r="O2" s="12" t="n">
        <x:f>COUNTIFS($B$2:$B$31,1,'Candidate Data'!$C$2:$C$31,$N2,'Candidate Data'!$D$2:$D$31,O$1)</x:f>
        <x:v>1</x:v>
      </x:c>
      <x:c r="P2" s="12" t="n">
        <x:f>COUNTIFS($B$2:$B$31,1,'Candidate Data'!$C$2:$C$31,$N2,'Candidate Data'!$D$2:$D$31,P$1)</x:f>
        <x:v>0</x:v>
      </x:c>
      <x:c r="Q2" s="12" t="n">
        <x:f>COUNTIFS($B$2:$B$31,1,'Candidate Data'!$C$2:$C$31,$N2,'Candidate Data'!$D$2:$D$31,Q$1)</x:f>
        <x:v>1</x:v>
      </x:c>
      <x:c r="R2" s="12" t="n">
        <x:f>COUNTIFS($B$2:$B$31,1,'Candidate Data'!$C$2:$C$31,$N2,'Candidate Data'!$D$2:$D$31,R$1)</x:f>
        <x:v>3</x:v>
      </x:c>
      <x:c r="S2" s="12" t="n">
        <x:f>COUNTIFS($B$2:$B$31,1,'Candidate Data'!$C$2:$C$31,$N2,'Candidate Data'!$D$2:$D$31,S$1)</x:f>
        <x:v>0</x:v>
      </x:c>
      <x:c r="T2" s="12" t="n">
        <x:f>COUNTIFS($B$2:$B$31,1,'Candidate Data'!$C$2:$C$31,$N2,'Candidate Data'!$D$2:$D$31,T$1)</x:f>
        <x:v>1</x:v>
      </x:c>
      <x:c r="U2" s="12" t="n">
        <x:f>SUM(O2:T2)</x:f>
        <x:v>6</x:v>
      </x:c>
      <x:c r="V2" s="42" t="n">
        <x:f>IFERROR(S2/U2,0)</x:f>
        <x:v>0</x:v>
      </x:c>
      <x:c r="W2" s="12" t="n">
        <x:f>R2+S2</x:f>
        <x:v>3</x:v>
      </x:c>
      <x:c r="X2" s="12"/>
      <x:c r="Y2" s="12" t="str">
        <x:v>Delhi</x:v>
      </x:c>
      <x:c r="Z2" s="12" t="n">
        <x:f>COUNTIFS($B$2:$B$31,1,'Candidate Data'!$E$2:$E$31,$Y2)</x:f>
        <x:v>5</x:v>
      </x:c>
      <x:c r="AA2" s="12" t="n">
        <x:f>COUNTIFS($B$2:$B$31,1,'Candidate Data'!$E$2:$E$31,$Y2,'Candidate Data'!$D$2:$D$31,"Hired")</x:f>
        <x:v>0</x:v>
      </x:c>
      <x:c r="AB2" s="12" t="n">
        <x:f>COUNTIFS($B$2:$B$31,1,'Candidate Data'!$E$2:$E$31,$Y2,'Candidate Data'!$D$2:$D$31,"Rejected")</x:f>
        <x:v>0</x:v>
      </x:c>
      <x:c r="AC2" s="42" t="n">
        <x:f>IFERROR(AA2/Z2,0)</x:f>
        <x:v>0</x:v>
      </x:c>
      <x:c r="AD2" s="42" t="n">
        <x:f>IFERROR(AB2/Z2,0)</x:f>
        <x:v>0</x:v>
      </x:c>
      <x:c r="AE2" s="12"/>
      <x:c r="AF2" s="12" t="str">
        <x:v>LinkedIn</x:v>
      </x:c>
      <x:c r="AG2" s="12" t="n">
        <x:f>COUNTIFS($B$2:$B$31,1,'Candidate Data'!$K$2:$K$31,$AF2)</x:f>
        <x:v>6</x:v>
      </x:c>
      <x:c r="AH2" s="12" t="n">
        <x:f>COUNTIFS($B$2:$B$31,1,'Candidate Data'!$K$2:$K$31,$AF2,'Candidate Data'!$D$2:$D$31,"Hired")</x:f>
        <x:v>0</x:v>
      </x:c>
      <x:c r="AI2" s="12" t="n">
        <x:f>COUNTIFS($B$2:$B$31,1,'Candidate Data'!$K$2:$K$31,$AF2,'Candidate Data'!$D$2:$D$31,"Rejected")</x:f>
        <x:v>0</x:v>
      </x:c>
      <x:c r="AJ2" s="42" t="n">
        <x:f>IFERROR(AH2/AG2,0)</x:f>
        <x:v>0</x:v>
      </x:c>
      <x:c r="AK2" s="12"/>
      <x:c r="AL2" s="12" t="str">
        <x:v>Top hire department</x:v>
      </x:c>
      <x:c r="AM2" s="12" t="str">
        <x:f>INDEX($N$2:$N$5,MATCH(MAX($S$2:$S$5),$S$2:$S$5,0))</x:f>
        <x:v>Finance</x:v>
      </x:c>
      <x:c r="AN2" s="12" t="n">
        <x:f>MAX($S$2:$S$5)</x:f>
        <x:v>3</x:v>
      </x:c>
    </x:row>
    <x:row r="3">
      <x:c r="A3" s="12" t="n">
        <x:f>'Candidate Data'!A3</x:f>
        <x:v>2</x:v>
      </x:c>
      <x:c r="B3" s="12" t="n">
        <x:f>--AND(OR(Dashboard!$A$5="All Time",AND(Dashboard!$A$5="Last 30 Days",'Candidate Data'!$H3&gt;=TODAY()-30),AND(Dashboard!$A$5="Last 60 Days",'Candidate Data'!$H3&gt;=TODAY()-60),AND(Dashboard!$A$5="This Month",MONTH('Candidate Data'!$H3)=MONTH(TODAY()),YEAR('Candidate Data'!$H3)=YEAR(TODAY()))),OR(Dashboard!$C$5="All",'Candidate Data'!$C3=Dashboard!$C$5),OR(Dashboard!$E$5="All",'Candidate Data'!$F3=Dashboard!$E$5),OR(Dashboard!$G$5="All",'Candidate Data'!$G3=Dashboard!$G$5),OR(Dashboard!$I$5="All",'Candidate Data'!$E3=Dashboard!$I$5),OR(Dashboard!$K$5="All",'Candidate Data'!$D3=Dashboard!$K$5))</x:f>
        <x:v>1</x:v>
      </x:c>
      <x:c r="C3" s="12" t="n">
        <x:f>IF(OR(B3=0,'Candidate Data'!$T3="Low",'Candidate Data'!$T3="Closed"),0,IF('Candidate Data'!$T3="High",300,200)+'Candidate Data'!$J3+ROW()/10000)</x:f>
        <x:v>0</x:v>
      </x:c>
      <x:c r="D3" s="12"/>
      <x:c r="E3" s="12"/>
      <x:c r="F3" s="12"/>
      <x:c r="G3" s="12"/>
      <x:c r="H3" s="12" t="str">
        <x:v>Hired</x:v>
      </x:c>
      <x:c r="I3" s="12" t="n">
        <x:f>COUNTIFS($B$2:$B$31,1,'Candidate Data'!$D$2:$D$31,H3)</x:f>
        <x:v>4</x:v>
      </x:c>
      <x:c r="J3" s="12" t="str">
        <x:f>IF(H3="Offer",COUNTIFS($B$2:$B$31,1,'Candidate Data'!$D$2:$D$31,H3),"")</x:f>
      </x:c>
      <x:c r="K3" s="12" t="n">
        <x:f>IF(H3="Hired",COUNTIFS($B$2:$B$31,1,'Candidate Data'!$D$2:$D$31,H3),"")</x:f>
        <x:v>4</x:v>
      </x:c>
      <x:c r="L3" s="12" t="str">
        <x:f>IF(H3="Rejected",COUNTIFS($B$2:$B$31,1,'Candidate Data'!$D$2:$D$31,H3),"")</x:f>
      </x:c>
      <x:c r="M3" s="12"/>
      <x:c r="N3" s="12" t="str">
        <x:v>IT</x:v>
      </x:c>
      <x:c r="O3" s="12" t="n">
        <x:f>COUNTIFS($B$2:$B$31,1,'Candidate Data'!$C$2:$C$31,$N3,'Candidate Data'!$D$2:$D$31,O$1)</x:f>
        <x:v>1</x:v>
      </x:c>
      <x:c r="P3" s="12" t="n">
        <x:f>COUNTIFS($B$2:$B$31,1,'Candidate Data'!$C$2:$C$31,$N3,'Candidate Data'!$D$2:$D$31,P$1)</x:f>
        <x:v>3</x:v>
      </x:c>
      <x:c r="Q3" s="12" t="n">
        <x:f>COUNTIFS($B$2:$B$31,1,'Candidate Data'!$C$2:$C$31,$N3,'Candidate Data'!$D$2:$D$31,Q$1)</x:f>
        <x:v>2</x:v>
      </x:c>
      <x:c r="R3" s="12" t="n">
        <x:f>COUNTIFS($B$2:$B$31,1,'Candidate Data'!$C$2:$C$31,$N3,'Candidate Data'!$D$2:$D$31,R$1)</x:f>
        <x:v>0</x:v>
      </x:c>
      <x:c r="S3" s="12" t="n">
        <x:f>COUNTIFS($B$2:$B$31,1,'Candidate Data'!$C$2:$C$31,$N3,'Candidate Data'!$D$2:$D$31,S$1)</x:f>
        <x:v>0</x:v>
      </x:c>
      <x:c r="T3" s="12" t="n">
        <x:f>COUNTIFS($B$2:$B$31,1,'Candidate Data'!$C$2:$C$31,$N3,'Candidate Data'!$D$2:$D$31,T$1)</x:f>
        <x:v>1</x:v>
      </x:c>
      <x:c r="U3" s="12" t="n">
        <x:f>SUM(O3:T3)</x:f>
        <x:v>7</x:v>
      </x:c>
      <x:c r="V3" s="42" t="n">
        <x:f>IFERROR(S3/U3,0)</x:f>
        <x:v>0</x:v>
      </x:c>
      <x:c r="W3" s="12" t="n">
        <x:f>R3+S3</x:f>
        <x:v>0</x:v>
      </x:c>
      <x:c r="X3" s="12"/>
      <x:c r="Y3" s="12" t="str">
        <x:v>Mumbai</x:v>
      </x:c>
      <x:c r="Z3" s="12" t="n">
        <x:f>COUNTIFS($B$2:$B$31,1,'Candidate Data'!$E$2:$E$31,$Y3)</x:f>
        <x:v>5</x:v>
      </x:c>
      <x:c r="AA3" s="12" t="n">
        <x:f>COUNTIFS($B$2:$B$31,1,'Candidate Data'!$E$2:$E$31,$Y3,'Candidate Data'!$D$2:$D$31,"Hired")</x:f>
        <x:v>0</x:v>
      </x:c>
      <x:c r="AB3" s="12" t="n">
        <x:f>COUNTIFS($B$2:$B$31,1,'Candidate Data'!$E$2:$E$31,$Y3,'Candidate Data'!$D$2:$D$31,"Rejected")</x:f>
        <x:v>0</x:v>
      </x:c>
      <x:c r="AC3" s="42" t="n">
        <x:f>IFERROR(AA3/Z3,0)</x:f>
        <x:v>0</x:v>
      </x:c>
      <x:c r="AD3" s="42" t="n">
        <x:f>IFERROR(AB3/Z3,0)</x:f>
        <x:v>0</x:v>
      </x:c>
      <x:c r="AE3" s="12"/>
      <x:c r="AF3" s="12" t="str">
        <x:v>Referral</x:v>
      </x:c>
      <x:c r="AG3" s="12" t="n">
        <x:f>COUNTIFS($B$2:$B$31,1,'Candidate Data'!$K$2:$K$31,$AF3)</x:f>
        <x:v>5</x:v>
      </x:c>
      <x:c r="AH3" s="12" t="n">
        <x:f>COUNTIFS($B$2:$B$31,1,'Candidate Data'!$K$2:$K$31,$AF3,'Candidate Data'!$D$2:$D$31,"Hired")</x:f>
        <x:v>0</x:v>
      </x:c>
      <x:c r="AI3" s="12" t="n">
        <x:f>COUNTIFS($B$2:$B$31,1,'Candidate Data'!$K$2:$K$31,$AF3,'Candidate Data'!$D$2:$D$31,"Rejected")</x:f>
        <x:v>0</x:v>
      </x:c>
      <x:c r="AJ3" s="42" t="n">
        <x:f>IFERROR(AH3/AG3,0)</x:f>
        <x:v>0</x:v>
      </x:c>
      <x:c r="AK3" s="12"/>
      <x:c r="AL3" s="12" t="str">
        <x:v>Largest active stage</x:v>
      </x:c>
      <x:c r="AM3" s="12" t="str">
        <x:f>INDEX($H$5:$H$7,MATCH(MAX($I$5:$I$7),$I$5:$I$7,0))</x:f>
        <x:v>Interview</x:v>
      </x:c>
      <x:c r="AN3" s="12" t="n">
        <x:f>MAX($I$5:$I$7)</x:f>
        <x:v>6</x:v>
      </x:c>
    </x:row>
    <x:row r="4">
      <x:c r="A4" s="12" t="n">
        <x:f>'Candidate Data'!A4</x:f>
        <x:v>3</x:v>
      </x:c>
      <x:c r="B4" s="12" t="n">
        <x:f>--AND(OR(Dashboard!$A$5="All Time",AND(Dashboard!$A$5="Last 30 Days",'Candidate Data'!$H4&gt;=TODAY()-30),AND(Dashboard!$A$5="Last 60 Days",'Candidate Data'!$H4&gt;=TODAY()-60),AND(Dashboard!$A$5="This Month",MONTH('Candidate Data'!$H4)=MONTH(TODAY()),YEAR('Candidate Data'!$H4)=YEAR(TODAY()))),OR(Dashboard!$C$5="All",'Candidate Data'!$C4=Dashboard!$C$5),OR(Dashboard!$E$5="All",'Candidate Data'!$F4=Dashboard!$E$5),OR(Dashboard!$G$5="All",'Candidate Data'!$G4=Dashboard!$G$5),OR(Dashboard!$I$5="All",'Candidate Data'!$E4=Dashboard!$I$5),OR(Dashboard!$K$5="All",'Candidate Data'!$D4=Dashboard!$K$5))</x:f>
        <x:v>1</x:v>
      </x:c>
      <x:c r="C4" s="12" t="n">
        <x:f>IF(OR(B4=0,'Candidate Data'!$T4="Low",'Candidate Data'!$T4="Closed"),0,IF('Candidate Data'!$T4="High",300,200)+'Candidate Data'!$J4+ROW()/10000)</x:f>
        <x:v>204.0004</x:v>
      </x:c>
      <x:c r="D4" s="12"/>
      <x:c r="E4" s="12"/>
      <x:c r="F4" s="12"/>
      <x:c r="G4" s="12"/>
      <x:c r="H4" s="12" t="str">
        <x:v>Offer</x:v>
      </x:c>
      <x:c r="I4" s="12" t="n">
        <x:f>COUNTIFS($B$2:$B$31,1,'Candidate Data'!$D$2:$D$31,H4)</x:f>
        <x:v>5</x:v>
      </x:c>
      <x:c r="J4" s="12" t="n">
        <x:f>IF(H4="Offer",COUNTIFS($B$2:$B$31,1,'Candidate Data'!$D$2:$D$31,H4),"")</x:f>
        <x:v>5</x:v>
      </x:c>
      <x:c r="K4" s="12" t="str">
        <x:f>IF(H4="Hired",COUNTIFS($B$2:$B$31,1,'Candidate Data'!$D$2:$D$31,H4),"")</x:f>
      </x:c>
      <x:c r="L4" s="12" t="str">
        <x:f>IF(H4="Rejected",COUNTIFS($B$2:$B$31,1,'Candidate Data'!$D$2:$D$31,H4),"")</x:f>
      </x:c>
      <x:c r="M4" s="12"/>
      <x:c r="N4" s="12" t="str">
        <x:v>Sales</x:v>
      </x:c>
      <x:c r="O4" s="12" t="n">
        <x:f>COUNTIFS($B$2:$B$31,1,'Candidate Data'!$C$2:$C$31,$N4,'Candidate Data'!$D$2:$D$31,O$1)</x:f>
        <x:v>2</x:v>
      </x:c>
      <x:c r="P4" s="12" t="n">
        <x:f>COUNTIFS($B$2:$B$31,1,'Candidate Data'!$C$2:$C$31,$N4,'Candidate Data'!$D$2:$D$31,P$1)</x:f>
        <x:v>2</x:v>
      </x:c>
      <x:c r="Q4" s="12" t="n">
        <x:f>COUNTIFS($B$2:$B$31,1,'Candidate Data'!$C$2:$C$31,$N4,'Candidate Data'!$D$2:$D$31,Q$1)</x:f>
        <x:v>1</x:v>
      </x:c>
      <x:c r="R4" s="12" t="n">
        <x:f>COUNTIFS($B$2:$B$31,1,'Candidate Data'!$C$2:$C$31,$N4,'Candidate Data'!$D$2:$D$31,R$1)</x:f>
        <x:v>1</x:v>
      </x:c>
      <x:c r="S4" s="12" t="n">
        <x:f>COUNTIFS($B$2:$B$31,1,'Candidate Data'!$C$2:$C$31,$N4,'Candidate Data'!$D$2:$D$31,S$1)</x:f>
        <x:v>1</x:v>
      </x:c>
      <x:c r="T4" s="12" t="n">
        <x:f>COUNTIFS($B$2:$B$31,1,'Candidate Data'!$C$2:$C$31,$N4,'Candidate Data'!$D$2:$D$31,T$1)</x:f>
        <x:v>1</x:v>
      </x:c>
      <x:c r="U4" s="12" t="n">
        <x:f>SUM(O4:T4)</x:f>
        <x:v>8</x:v>
      </x:c>
      <x:c r="V4" s="42" t="n">
        <x:f>IFERROR(S4/U4,0)</x:f>
        <x:v>0.125</x:v>
      </x:c>
      <x:c r="W4" s="12" t="n">
        <x:f>R4+S4</x:f>
        <x:v>2</x:v>
      </x:c>
      <x:c r="X4" s="12"/>
      <x:c r="Y4" s="12" t="str">
        <x:v>Hyderabad</x:v>
      </x:c>
      <x:c r="Z4" s="12" t="n">
        <x:f>COUNTIFS($B$2:$B$31,1,'Candidate Data'!$E$2:$E$31,$Y4)</x:f>
        <x:v>5</x:v>
      </x:c>
      <x:c r="AA4" s="12" t="n">
        <x:f>COUNTIFS($B$2:$B$31,1,'Candidate Data'!$E$2:$E$31,$Y4,'Candidate Data'!$D$2:$D$31,"Hired")</x:f>
        <x:v>0</x:v>
      </x:c>
      <x:c r="AB4" s="12" t="n">
        <x:f>COUNTIFS($B$2:$B$31,1,'Candidate Data'!$E$2:$E$31,$Y4,'Candidate Data'!$D$2:$D$31,"Rejected")</x:f>
        <x:v>2</x:v>
      </x:c>
      <x:c r="AC4" s="42" t="n">
        <x:f>IFERROR(AA4/Z4,0)</x:f>
        <x:v>0</x:v>
      </x:c>
      <x:c r="AD4" s="42" t="n">
        <x:f>IFERROR(AB4/Z4,0)</x:f>
        <x:v>0.4</x:v>
      </x:c>
      <x:c r="AE4" s="12"/>
      <x:c r="AF4" s="12" t="str">
        <x:v>Careers Page</x:v>
      </x:c>
      <x:c r="AG4" s="12" t="n">
        <x:f>COUNTIFS($B$2:$B$31,1,'Candidate Data'!$K$2:$K$31,$AF4)</x:f>
        <x:v>6</x:v>
      </x:c>
      <x:c r="AH4" s="12" t="n">
        <x:f>COUNTIFS($B$2:$B$31,1,'Candidate Data'!$K$2:$K$31,$AF4,'Candidate Data'!$D$2:$D$31,"Hired")</x:f>
        <x:v>0</x:v>
      </x:c>
      <x:c r="AI4" s="12" t="n">
        <x:f>COUNTIFS($B$2:$B$31,1,'Candidate Data'!$K$2:$K$31,$AF4,'Candidate Data'!$D$2:$D$31,"Rejected")</x:f>
        <x:v>1</x:v>
      </x:c>
      <x:c r="AJ4" s="42" t="n">
        <x:f>IFERROR(AH4/AG4,0)</x:f>
        <x:v>0</x:v>
      </x:c>
      <x:c r="AK4" s="12"/>
      <x:c r="AL4" s="12" t="str">
        <x:v>Overdue offers</x:v>
      </x:c>
      <x:c r="AM4" s="12" t="str">
        <x:v>Offer follow-up</x:v>
      </x:c>
      <x:c r="AN4" s="12" t="n">
        <x:f>SUMPRODUCT(($B$2:$B$31=1)*('Candidate Data'!$D$2:$D$31="Offer")*('Candidate Data'!$J$2:$J$31&gt;3))</x:f>
        <x:v>5</x:v>
      </x:c>
    </x:row>
    <x:row r="5">
      <x:c r="A5" s="12" t="n">
        <x:f>'Candidate Data'!A5</x:f>
        <x:v>4</x:v>
      </x:c>
      <x:c r="B5" s="12" t="n">
        <x:f>--AND(OR(Dashboard!$A$5="All Time",AND(Dashboard!$A$5="Last 30 Days",'Candidate Data'!$H5&gt;=TODAY()-30),AND(Dashboard!$A$5="Last 60 Days",'Candidate Data'!$H5&gt;=TODAY()-60),AND(Dashboard!$A$5="This Month",MONTH('Candidate Data'!$H5)=MONTH(TODAY()),YEAR('Candidate Data'!$H5)=YEAR(TODAY()))),OR(Dashboard!$C$5="All",'Candidate Data'!$C5=Dashboard!$C$5),OR(Dashboard!$E$5="All",'Candidate Data'!$F5=Dashboard!$E$5),OR(Dashboard!$G$5="All",'Candidate Data'!$G5=Dashboard!$G$5),OR(Dashboard!$I$5="All",'Candidate Data'!$E5=Dashboard!$I$5),OR(Dashboard!$K$5="All",'Candidate Data'!$D5=Dashboard!$K$5))</x:f>
        <x:v>1</x:v>
      </x:c>
      <x:c r="C5" s="12" t="n">
        <x:f>IF(OR(B5=0,'Candidate Data'!$T5="Low",'Candidate Data'!$T5="Closed"),0,IF('Candidate Data'!$T5="High",300,200)+'Candidate Data'!$J5+ROW()/10000)</x:f>
        <x:v>307.0005</x:v>
      </x:c>
      <x:c r="D5" s="12"/>
      <x:c r="E5" s="12"/>
      <x:c r="F5" s="12"/>
      <x:c r="G5" s="12"/>
      <x:c r="H5" s="12" t="str">
        <x:v>Interview</x:v>
      </x:c>
      <x:c r="I5" s="12" t="n">
        <x:f>COUNTIFS($B$2:$B$31,1,'Candidate Data'!$D$2:$D$31,H5)</x:f>
        <x:v>6</x:v>
      </x:c>
      <x:c r="J5" s="12" t="str">
        <x:f>IF(H5="Offer",COUNTIFS($B$2:$B$31,1,'Candidate Data'!$D$2:$D$31,H5),"")</x:f>
      </x:c>
      <x:c r="K5" s="12" t="str">
        <x:f>IF(H5="Hired",COUNTIFS($B$2:$B$31,1,'Candidate Data'!$D$2:$D$31,H5),"")</x:f>
      </x:c>
      <x:c r="L5" s="12" t="str">
        <x:f>IF(H5="Rejected",COUNTIFS($B$2:$B$31,1,'Candidate Data'!$D$2:$D$31,H5),"")</x:f>
      </x:c>
      <x:c r="M5" s="12"/>
      <x:c r="N5" s="12" t="str">
        <x:v>Finance</x:v>
      </x:c>
      <x:c r="O5" s="12" t="n">
        <x:f>COUNTIFS($B$2:$B$31,1,'Candidate Data'!$C$2:$C$31,$N5,'Candidate Data'!$D$2:$D$31,O$1)</x:f>
        <x:v>2</x:v>
      </x:c>
      <x:c r="P5" s="12" t="n">
        <x:f>COUNTIFS($B$2:$B$31,1,'Candidate Data'!$C$2:$C$31,$N5,'Candidate Data'!$D$2:$D$31,P$1)</x:f>
        <x:v>1</x:v>
      </x:c>
      <x:c r="Q5" s="12" t="n">
        <x:f>COUNTIFS($B$2:$B$31,1,'Candidate Data'!$C$2:$C$31,$N5,'Candidate Data'!$D$2:$D$31,Q$1)</x:f>
        <x:v>2</x:v>
      </x:c>
      <x:c r="R5" s="12" t="n">
        <x:f>COUNTIFS($B$2:$B$31,1,'Candidate Data'!$C$2:$C$31,$N5,'Candidate Data'!$D$2:$D$31,R$1)</x:f>
        <x:v>1</x:v>
      </x:c>
      <x:c r="S5" s="12" t="n">
        <x:f>COUNTIFS($B$2:$B$31,1,'Candidate Data'!$C$2:$C$31,$N5,'Candidate Data'!$D$2:$D$31,S$1)</x:f>
        <x:v>3</x:v>
      </x:c>
      <x:c r="T5" s="12" t="n">
        <x:f>COUNTIFS($B$2:$B$31,1,'Candidate Data'!$C$2:$C$31,$N5,'Candidate Data'!$D$2:$D$31,T$1)</x:f>
        <x:v>0</x:v>
      </x:c>
      <x:c r="U5" s="12" t="n">
        <x:f>SUM(O5:T5)</x:f>
        <x:v>9</x:v>
      </x:c>
      <x:c r="V5" s="42" t="n">
        <x:f>IFERROR(S5/U5,0)</x:f>
        <x:v>0.3333333333333333</x:v>
      </x:c>
      <x:c r="W5" s="12" t="n">
        <x:f>R5+S5</x:f>
        <x:v>4</x:v>
      </x:c>
      <x:c r="X5" s="12"/>
      <x:c r="Y5" s="12" t="str">
        <x:v>Bangalore</x:v>
      </x:c>
      <x:c r="Z5" s="12" t="n">
        <x:f>COUNTIFS($B$2:$B$31,1,'Candidate Data'!$E$2:$E$31,$Y5)</x:f>
        <x:v>4</x:v>
      </x:c>
      <x:c r="AA5" s="12" t="n">
        <x:f>COUNTIFS($B$2:$B$31,1,'Candidate Data'!$E$2:$E$31,$Y5,'Candidate Data'!$D$2:$D$31,"Hired")</x:f>
        <x:v>0</x:v>
      </x:c>
      <x:c r="AB5" s="12" t="n">
        <x:f>COUNTIFS($B$2:$B$31,1,'Candidate Data'!$E$2:$E$31,$Y5,'Candidate Data'!$D$2:$D$31,"Rejected")</x:f>
        <x:v>1</x:v>
      </x:c>
      <x:c r="AC5" s="42" t="n">
        <x:f>IFERROR(AA5/Z5,0)</x:f>
        <x:v>0</x:v>
      </x:c>
      <x:c r="AD5" s="42" t="n">
        <x:f>IFERROR(AB5/Z5,0)</x:f>
        <x:v>0.25</x:v>
      </x:c>
      <x:c r="AE5" s="12"/>
      <x:c r="AF5" s="12" t="str">
        <x:v>Naukri</x:v>
      </x:c>
      <x:c r="AG5" s="12" t="n">
        <x:f>COUNTIFS($B$2:$B$31,1,'Candidate Data'!$K$2:$K$31,$AF5)</x:f>
        <x:v>8</x:v>
      </x:c>
      <x:c r="AH5" s="12" t="n">
        <x:f>COUNTIFS($B$2:$B$31,1,'Candidate Data'!$K$2:$K$31,$AF5,'Candidate Data'!$D$2:$D$31,"Hired")</x:f>
        <x:v>3</x:v>
      </x:c>
      <x:c r="AI5" s="12" t="n">
        <x:f>COUNTIFS($B$2:$B$31,1,'Candidate Data'!$K$2:$K$31,$AF5,'Candidate Data'!$D$2:$D$31,"Rejected")</x:f>
        <x:v>0</x:v>
      </x:c>
      <x:c r="AJ5" s="42" t="n">
        <x:f>IFERROR(AH5/AG5,0)</x:f>
        <x:v>0.375</x:v>
      </x:c>
      <x:c r="AK5" s="12"/>
      <x:c r="AL5" s="12" t="str">
        <x:v>Top rejection location</x:v>
      </x:c>
      <x:c r="AM5" s="12" t="str">
        <x:f>INDEX($Y$2:$Y$8,MATCH(MAX($AB$2:$AB$8),$AB$2:$AB$8,0))</x:f>
        <x:v>Hyderabad</x:v>
      </x:c>
      <x:c r="AN5" s="12" t="n">
        <x:f>MAX($AB$2:$AB$8)</x:f>
        <x:v>2</x:v>
      </x:c>
    </x:row>
    <x:row r="6">
      <x:c r="A6" s="12" t="n">
        <x:f>'Candidate Data'!A6</x:f>
        <x:v>5</x:v>
      </x:c>
      <x:c r="B6" s="12" t="n">
        <x:f>--AND(OR(Dashboard!$A$5="All Time",AND(Dashboard!$A$5="Last 30 Days",'Candidate Data'!$H6&gt;=TODAY()-30),AND(Dashboard!$A$5="Last 60 Days",'Candidate Data'!$H6&gt;=TODAY()-60),AND(Dashboard!$A$5="This Month",MONTH('Candidate Data'!$H6)=MONTH(TODAY()),YEAR('Candidate Data'!$H6)=YEAR(TODAY()))),OR(Dashboard!$C$5="All",'Candidate Data'!$C6=Dashboard!$C$5),OR(Dashboard!$E$5="All",'Candidate Data'!$F6=Dashboard!$E$5),OR(Dashboard!$G$5="All",'Candidate Data'!$G6=Dashboard!$G$5),OR(Dashboard!$I$5="All",'Candidate Data'!$E6=Dashboard!$I$5),OR(Dashboard!$K$5="All",'Candidate Data'!$D6=Dashboard!$K$5))</x:f>
        <x:v>1</x:v>
      </x:c>
      <x:c r="C6" s="12" t="n">
        <x:f>IF(OR(B6=0,'Candidate Data'!$T6="Low",'Candidate Data'!$T6="Closed"),0,IF('Candidate Data'!$T6="High",300,200)+'Candidate Data'!$J6+ROW()/10000)</x:f>
        <x:v>0</x:v>
      </x:c>
      <x:c r="D6" s="12"/>
      <x:c r="E6" s="12"/>
      <x:c r="F6" s="12"/>
      <x:c r="G6" s="12"/>
      <x:c r="H6" s="12" t="str">
        <x:v>Screening</x:v>
      </x:c>
      <x:c r="I6" s="12" t="n">
        <x:f>COUNTIFS($B$2:$B$31,1,'Candidate Data'!$D$2:$D$31,H6)</x:f>
        <x:v>6</x:v>
      </x:c>
      <x:c r="J6" s="12" t="str">
        <x:f>IF(H6="Offer",COUNTIFS($B$2:$B$31,1,'Candidate Data'!$D$2:$D$31,H6),"")</x:f>
      </x:c>
      <x:c r="K6" s="12" t="str">
        <x:f>IF(H6="Hired",COUNTIFS($B$2:$B$31,1,'Candidate Data'!$D$2:$D$31,H6),"")</x:f>
      </x:c>
      <x:c r="L6" s="12" t="str">
        <x:f>IF(H6="Rejected",COUNTIFS($B$2:$B$31,1,'Candidate Data'!$D$2:$D$31,H6),"")</x:f>
      </x:c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 t="str">
        <x:v>Chennai</x:v>
      </x:c>
      <x:c r="Z6" s="12" t="n">
        <x:f>COUNTIFS($B$2:$B$31,1,'Candidate Data'!$E$2:$E$31,$Y6)</x:f>
        <x:v>4</x:v>
      </x:c>
      <x:c r="AA6" s="12" t="n">
        <x:f>COUNTIFS($B$2:$B$31,1,'Candidate Data'!$E$2:$E$31,$Y6,'Candidate Data'!$D$2:$D$31,"Hired")</x:f>
        <x:v>1</x:v>
      </x:c>
      <x:c r="AB6" s="12" t="n">
        <x:f>COUNTIFS($B$2:$B$31,1,'Candidate Data'!$E$2:$E$31,$Y6,'Candidate Data'!$D$2:$D$31,"Rejected")</x:f>
        <x:v>0</x:v>
      </x:c>
      <x:c r="AC6" s="42" t="n">
        <x:f>IFERROR(AA6/Z6,0)</x:f>
        <x:v>0.25</x:v>
      </x:c>
      <x:c r="AD6" s="42" t="n">
        <x:f>IFERROR(AB6/Z6,0)</x:f>
        <x:v>0</x:v>
      </x:c>
      <x:c r="AE6" s="12"/>
      <x:c r="AF6" s="12" t="str">
        <x:v>Indeed</x:v>
      </x:c>
      <x:c r="AG6" s="12" t="n">
        <x:f>COUNTIFS($B$2:$B$31,1,'Candidate Data'!$K$2:$K$31,$AF6)</x:f>
        <x:v>5</x:v>
      </x:c>
      <x:c r="AH6" s="12" t="n">
        <x:f>COUNTIFS($B$2:$B$31,1,'Candidate Data'!$K$2:$K$31,$AF6,'Candidate Data'!$D$2:$D$31,"Hired")</x:f>
        <x:v>1</x:v>
      </x:c>
      <x:c r="AI6" s="12" t="n">
        <x:f>COUNTIFS($B$2:$B$31,1,'Candidate Data'!$K$2:$K$31,$AF6,'Candidate Data'!$D$2:$D$31,"Rejected")</x:f>
        <x:v>2</x:v>
      </x:c>
      <x:c r="AJ6" s="42" t="n">
        <x:f>IFERROR(AH6/AG6,0)</x:f>
        <x:v>0.2</x:v>
      </x:c>
      <x:c r="AK6" s="12"/>
      <x:c r="AL6" s="12" t="str">
        <x:v>Best source</x:v>
      </x:c>
      <x:c r="AM6" s="12" t="str">
        <x:f>INDEX($AF$2:$AF$6,MATCH(MAX($AJ$2:$AJ$6),$AJ$2:$AJ$6,0))</x:f>
        <x:v>Naukri</x:v>
      </x:c>
      <x:c r="AN6" s="42" t="n">
        <x:f>MAX($AJ$2:$AJ$6)</x:f>
        <x:v>0.375</x:v>
      </x:c>
    </x:row>
    <x:row r="7">
      <x:c r="A7" s="12" t="n">
        <x:f>'Candidate Data'!A7</x:f>
        <x:v>6</x:v>
      </x:c>
      <x:c r="B7" s="12" t="n">
        <x:f>--AND(OR(Dashboard!$A$5="All Time",AND(Dashboard!$A$5="Last 30 Days",'Candidate Data'!$H7&gt;=TODAY()-30),AND(Dashboard!$A$5="Last 60 Days",'Candidate Data'!$H7&gt;=TODAY()-60),AND(Dashboard!$A$5="This Month",MONTH('Candidate Data'!$H7)=MONTH(TODAY()),YEAR('Candidate Data'!$H7)=YEAR(TODAY()))),OR(Dashboard!$C$5="All",'Candidate Data'!$C7=Dashboard!$C$5),OR(Dashboard!$E$5="All",'Candidate Data'!$F7=Dashboard!$E$5),OR(Dashboard!$G$5="All",'Candidate Data'!$G7=Dashboard!$G$5),OR(Dashboard!$I$5="All",'Candidate Data'!$E7=Dashboard!$I$5),OR(Dashboard!$K$5="All",'Candidate Data'!$D7=Dashboard!$K$5))</x:f>
        <x:v>1</x:v>
      </x:c>
      <x:c r="C7" s="12" t="n">
        <x:f>IF(OR(B7=0,'Candidate Data'!$T7="Low",'Candidate Data'!$T7="Closed"),0,IF('Candidate Data'!$T7="High",300,200)+'Candidate Data'!$J7+ROW()/10000)</x:f>
        <x:v>203.0007</x:v>
      </x:c>
      <x:c r="D7" s="12"/>
      <x:c r="E7" s="12"/>
      <x:c r="F7" s="12"/>
      <x:c r="G7" s="12"/>
      <x:c r="H7" s="12" t="str">
        <x:v>Applied</x:v>
      </x:c>
      <x:c r="I7" s="12" t="n">
        <x:f>COUNTIFS($B$2:$B$31,1,'Candidate Data'!$D$2:$D$31,H7)</x:f>
        <x:v>6</x:v>
      </x:c>
      <x:c r="J7" s="12" t="str">
        <x:f>IF(H7="Offer",COUNTIFS($B$2:$B$31,1,'Candidate Data'!$D$2:$D$31,H7),"")</x:f>
      </x:c>
      <x:c r="K7" s="12" t="str">
        <x:f>IF(H7="Hired",COUNTIFS($B$2:$B$31,1,'Candidate Data'!$D$2:$D$31,H7),"")</x:f>
      </x:c>
      <x:c r="L7" s="12" t="str">
        <x:f>IF(H7="Rejected",COUNTIFS($B$2:$B$31,1,'Candidate Data'!$D$2:$D$31,H7),"")</x:f>
      </x:c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 t="str">
        <x:v>Pune</x:v>
      </x:c>
      <x:c r="Z7" s="12" t="n">
        <x:f>COUNTIFS($B$2:$B$31,1,'Candidate Data'!$E$2:$E$31,$Y7)</x:f>
        <x:v>4</x:v>
      </x:c>
      <x:c r="AA7" s="12" t="n">
        <x:f>COUNTIFS($B$2:$B$31,1,'Candidate Data'!$E$2:$E$31,$Y7,'Candidate Data'!$D$2:$D$31,"Hired")</x:f>
        <x:v>1</x:v>
      </x:c>
      <x:c r="AB7" s="12" t="n">
        <x:f>COUNTIFS($B$2:$B$31,1,'Candidate Data'!$E$2:$E$31,$Y7,'Candidate Data'!$D$2:$D$31,"Rejected")</x:f>
        <x:v>0</x:v>
      </x:c>
      <x:c r="AC7" s="42" t="n">
        <x:f>IFERROR(AA7/Z7,0)</x:f>
        <x:v>0.25</x:v>
      </x:c>
      <x:c r="AD7" s="42" t="n">
        <x:f>IFERROR(AB7/Z7,0)</x:f>
        <x:v>0</x:v>
      </x:c>
      <x:c r="AE7" s="12"/>
      <x:c r="AF7" s="12"/>
      <x:c r="AG7" s="12"/>
      <x:c r="AH7" s="12"/>
      <x:c r="AI7" s="12"/>
      <x:c r="AJ7" s="12"/>
      <x:c r="AK7" s="12"/>
      <x:c r="AL7" s="12"/>
      <x:c r="AM7" s="12"/>
      <x:c r="AN7" s="12"/>
    </x:row>
    <x:row r="8">
      <x:c r="A8" s="12" t="n">
        <x:f>'Candidate Data'!A8</x:f>
        <x:v>7</x:v>
      </x:c>
      <x:c r="B8" s="12" t="n">
        <x:f>--AND(OR(Dashboard!$A$5="All Time",AND(Dashboard!$A$5="Last 30 Days",'Candidate Data'!$H8&gt;=TODAY()-30),AND(Dashboard!$A$5="Last 60 Days",'Candidate Data'!$H8&gt;=TODAY()-60),AND(Dashboard!$A$5="This Month",MONTH('Candidate Data'!$H8)=MONTH(TODAY()),YEAR('Candidate Data'!$H8)=YEAR(TODAY()))),OR(Dashboard!$C$5="All",'Candidate Data'!$C8=Dashboard!$C$5),OR(Dashboard!$E$5="All",'Candidate Data'!$F8=Dashboard!$E$5),OR(Dashboard!$G$5="All",'Candidate Data'!$G8=Dashboard!$G$5),OR(Dashboard!$I$5="All",'Candidate Data'!$E8=Dashboard!$I$5),OR(Dashboard!$K$5="All",'Candidate Data'!$D8=Dashboard!$K$5))</x:f>
        <x:v>1</x:v>
      </x:c>
      <x:c r="C8" s="12" t="n">
        <x:f>IF(OR(B8=0,'Candidate Data'!$T8="Low",'Candidate Data'!$T8="Closed"),0,IF('Candidate Data'!$T8="High",300,200)+'Candidate Data'!$J8+ROW()/10000)</x:f>
        <x:v>309.0008</x:v>
      </x:c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 t="str">
        <x:v>Kolkata</x:v>
      </x:c>
      <x:c r="Z8" s="12" t="n">
        <x:f>COUNTIFS($B$2:$B$31,1,'Candidate Data'!$E$2:$E$31,$Y8)</x:f>
        <x:v>3</x:v>
      </x:c>
      <x:c r="AA8" s="12" t="n">
        <x:f>COUNTIFS($B$2:$B$31,1,'Candidate Data'!$E$2:$E$31,$Y8,'Candidate Data'!$D$2:$D$31,"Hired")</x:f>
        <x:v>2</x:v>
      </x:c>
      <x:c r="AB8" s="12" t="n">
        <x:f>COUNTIFS($B$2:$B$31,1,'Candidate Data'!$E$2:$E$31,$Y8,'Candidate Data'!$D$2:$D$31,"Rejected")</x:f>
        <x:v>0</x:v>
      </x:c>
      <x:c r="AC8" s="42" t="n">
        <x:f>IFERROR(AA8/Z8,0)</x:f>
        <x:v>0.6666666666666666</x:v>
      </x:c>
      <x:c r="AD8" s="42" t="n">
        <x:f>IFERROR(AB8/Z8,0)</x:f>
        <x:v>0</x:v>
      </x:c>
      <x:c r="AE8" s="12"/>
      <x:c r="AF8" s="12"/>
      <x:c r="AG8" s="12"/>
      <x:c r="AH8" s="12"/>
      <x:c r="AI8" s="12"/>
      <x:c r="AJ8" s="12"/>
      <x:c r="AK8" s="12"/>
      <x:c r="AL8" s="12"/>
      <x:c r="AM8" s="12"/>
      <x:c r="AN8" s="12"/>
    </x:row>
    <x:row r="9">
      <x:c r="A9" s="12" t="n">
        <x:f>'Candidate Data'!A9</x:f>
        <x:v>8</x:v>
      </x:c>
      <x:c r="B9" s="12" t="n">
        <x:f>--AND(OR(Dashboard!$A$5="All Time",AND(Dashboard!$A$5="Last 30 Days",'Candidate Data'!$H9&gt;=TODAY()-30),AND(Dashboard!$A$5="Last 60 Days",'Candidate Data'!$H9&gt;=TODAY()-60),AND(Dashboard!$A$5="This Month",MONTH('Candidate Data'!$H9)=MONTH(TODAY()),YEAR('Candidate Data'!$H9)=YEAR(TODAY()))),OR(Dashboard!$C$5="All",'Candidate Data'!$C9=Dashboard!$C$5),OR(Dashboard!$E$5="All",'Candidate Data'!$F9=Dashboard!$E$5),OR(Dashboard!$G$5="All",'Candidate Data'!$G9=Dashboard!$G$5),OR(Dashboard!$I$5="All",'Candidate Data'!$E9=Dashboard!$I$5),OR(Dashboard!$K$5="All",'Candidate Data'!$D9=Dashboard!$K$5))</x:f>
        <x:v>1</x:v>
      </x:c>
      <x:c r="C9" s="12" t="n">
        <x:f>IF(OR(B9=0,'Candidate Data'!$T9="Low",'Candidate Data'!$T9="Closed"),0,IF('Candidate Data'!$T9="High",300,200)+'Candidate Data'!$J9+ROW()/10000)</x:f>
        <x:v>0</x:v>
      </x:c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/>
      <x:c r="AM9" s="12"/>
      <x:c r="AN9" s="12"/>
    </x:row>
    <x:row r="10">
      <x:c r="A10" s="12" t="n">
        <x:f>'Candidate Data'!A10</x:f>
        <x:v>9</x:v>
      </x:c>
      <x:c r="B10" s="12" t="n">
        <x:f>--AND(OR(Dashboard!$A$5="All Time",AND(Dashboard!$A$5="Last 30 Days",'Candidate Data'!$H10&gt;=TODAY()-30),AND(Dashboard!$A$5="Last 60 Days",'Candidate Data'!$H10&gt;=TODAY()-60),AND(Dashboard!$A$5="This Month",MONTH('Candidate Data'!$H10)=MONTH(TODAY()),YEAR('Candidate Data'!$H10)=YEAR(TODAY()))),OR(Dashboard!$C$5="All",'Candidate Data'!$C10=Dashboard!$C$5),OR(Dashboard!$E$5="All",'Candidate Data'!$F10=Dashboard!$E$5),OR(Dashboard!$G$5="All",'Candidate Data'!$G10=Dashboard!$G$5),OR(Dashboard!$I$5="All",'Candidate Data'!$E10=Dashboard!$I$5),OR(Dashboard!$K$5="All",'Candidate Data'!$D10=Dashboard!$K$5))</x:f>
        <x:v>1</x:v>
      </x:c>
      <x:c r="C10" s="12" t="n">
        <x:f>IF(OR(B10=0,'Candidate Data'!$T10="Low",'Candidate Data'!$T10="Closed"),0,IF('Candidate Data'!$T10="High",300,200)+'Candidate Data'!$J10+ROW()/10000)</x:f>
        <x:v>306.001</x:v>
      </x:c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2"/>
      <x:c r="AI10" s="12"/>
      <x:c r="AJ10" s="12"/>
      <x:c r="AK10" s="12"/>
      <x:c r="AL10" s="12"/>
      <x:c r="AM10" s="12"/>
      <x:c r="AN10" s="12"/>
    </x:row>
    <x:row r="11">
      <x:c r="A11" s="12" t="n">
        <x:f>'Candidate Data'!A11</x:f>
        <x:v>10</x:v>
      </x:c>
      <x:c r="B11" s="12" t="n">
        <x:f>--AND(OR(Dashboard!$A$5="All Time",AND(Dashboard!$A$5="Last 30 Days",'Candidate Data'!$H11&gt;=TODAY()-30),AND(Dashboard!$A$5="Last 60 Days",'Candidate Data'!$H11&gt;=TODAY()-60),AND(Dashboard!$A$5="This Month",MONTH('Candidate Data'!$H11)=MONTH(TODAY()),YEAR('Candidate Data'!$H11)=YEAR(TODAY()))),OR(Dashboard!$C$5="All",'Candidate Data'!$C11=Dashboard!$C$5),OR(Dashboard!$E$5="All",'Candidate Data'!$F11=Dashboard!$E$5),OR(Dashboard!$G$5="All",'Candidate Data'!$G11=Dashboard!$G$5),OR(Dashboard!$I$5="All",'Candidate Data'!$E11=Dashboard!$I$5),OR(Dashboard!$K$5="All",'Candidate Data'!$D11=Dashboard!$K$5))</x:f>
        <x:v>1</x:v>
      </x:c>
      <x:c r="C11" s="12" t="n">
        <x:f>IF(OR(B11=0,'Candidate Data'!$T11="Low",'Candidate Data'!$T11="Closed"),0,IF('Candidate Data'!$T11="High",300,200)+'Candidate Data'!$J11+ROW()/10000)</x:f>
        <x:v>0</x:v>
      </x:c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/>
      <x:c r="AH11" s="12"/>
      <x:c r="AI11" s="12"/>
      <x:c r="AJ11" s="12"/>
      <x:c r="AK11" s="12"/>
      <x:c r="AL11" s="12"/>
      <x:c r="AM11" s="12"/>
      <x:c r="AN11" s="12"/>
    </x:row>
    <x:row r="12">
      <x:c r="A12" s="12" t="n">
        <x:f>'Candidate Data'!A12</x:f>
        <x:v>11</x:v>
      </x:c>
      <x:c r="B12" s="12" t="n">
        <x:f>--AND(OR(Dashboard!$A$5="All Time",AND(Dashboard!$A$5="Last 30 Days",'Candidate Data'!$H12&gt;=TODAY()-30),AND(Dashboard!$A$5="Last 60 Days",'Candidate Data'!$H12&gt;=TODAY()-60),AND(Dashboard!$A$5="This Month",MONTH('Candidate Data'!$H12)=MONTH(TODAY()),YEAR('Candidate Data'!$H12)=YEAR(TODAY()))),OR(Dashboard!$C$5="All",'Candidate Data'!$C12=Dashboard!$C$5),OR(Dashboard!$E$5="All",'Candidate Data'!$F12=Dashboard!$E$5),OR(Dashboard!$G$5="All",'Candidate Data'!$G12=Dashboard!$G$5),OR(Dashboard!$I$5="All",'Candidate Data'!$E12=Dashboard!$I$5),OR(Dashboard!$K$5="All",'Candidate Data'!$D12=Dashboard!$K$5))</x:f>
        <x:v>1</x:v>
      </x:c>
      <x:c r="C12" s="12" t="n">
        <x:f>IF(OR(B12=0,'Candidate Data'!$T12="Low",'Candidate Data'!$T12="Closed"),0,IF('Candidate Data'!$T12="High",300,200)+'Candidate Data'!$J12+ROW()/10000)</x:f>
        <x:v>211.0012</x:v>
      </x:c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/>
      <x:c r="AH12" s="12"/>
      <x:c r="AI12" s="12"/>
      <x:c r="AJ12" s="12"/>
      <x:c r="AK12" s="12"/>
      <x:c r="AL12" s="12"/>
      <x:c r="AM12" s="12"/>
      <x:c r="AN12" s="12"/>
    </x:row>
    <x:row r="13">
      <x:c r="A13" s="12" t="n">
        <x:f>'Candidate Data'!A13</x:f>
        <x:v>12</x:v>
      </x:c>
      <x:c r="B13" s="12" t="n">
        <x:f>--AND(OR(Dashboard!$A$5="All Time",AND(Dashboard!$A$5="Last 30 Days",'Candidate Data'!$H13&gt;=TODAY()-30),AND(Dashboard!$A$5="Last 60 Days",'Candidate Data'!$H13&gt;=TODAY()-60),AND(Dashboard!$A$5="This Month",MONTH('Candidate Data'!$H13)=MONTH(TODAY()),YEAR('Candidate Data'!$H13)=YEAR(TODAY()))),OR(Dashboard!$C$5="All",'Candidate Data'!$C13=Dashboard!$C$5),OR(Dashboard!$E$5="All",'Candidate Data'!$F13=Dashboard!$E$5),OR(Dashboard!$G$5="All",'Candidate Data'!$G13=Dashboard!$G$5),OR(Dashboard!$I$5="All",'Candidate Data'!$E13=Dashboard!$I$5),OR(Dashboard!$K$5="All",'Candidate Data'!$D13=Dashboard!$K$5))</x:f>
        <x:v>1</x:v>
      </x:c>
      <x:c r="C13" s="12" t="n">
        <x:f>IF(OR(B13=0,'Candidate Data'!$T13="Low",'Candidate Data'!$T13="Closed"),0,IF('Candidate Data'!$T13="High",300,200)+'Candidate Data'!$J13+ROW()/10000)</x:f>
        <x:v>0</x:v>
      </x:c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/>
      <x:c r="AH13" s="12"/>
      <x:c r="AI13" s="12"/>
      <x:c r="AJ13" s="12"/>
      <x:c r="AK13" s="12"/>
      <x:c r="AL13" s="12"/>
      <x:c r="AM13" s="12"/>
      <x:c r="AN13" s="12"/>
    </x:row>
    <x:row r="14">
      <x:c r="A14" s="12" t="n">
        <x:f>'Candidate Data'!A14</x:f>
        <x:v>13</x:v>
      </x:c>
      <x:c r="B14" s="12" t="n">
        <x:f>--AND(OR(Dashboard!$A$5="All Time",AND(Dashboard!$A$5="Last 30 Days",'Candidate Data'!$H14&gt;=TODAY()-30),AND(Dashboard!$A$5="Last 60 Days",'Candidate Data'!$H14&gt;=TODAY()-60),AND(Dashboard!$A$5="This Month",MONTH('Candidate Data'!$H14)=MONTH(TODAY()),YEAR('Candidate Data'!$H14)=YEAR(TODAY()))),OR(Dashboard!$C$5="All",'Candidate Data'!$C14=Dashboard!$C$5),OR(Dashboard!$E$5="All",'Candidate Data'!$F14=Dashboard!$E$5),OR(Dashboard!$G$5="All",'Candidate Data'!$G14=Dashboard!$G$5),OR(Dashboard!$I$5="All",'Candidate Data'!$E14=Dashboard!$I$5),OR(Dashboard!$K$5="All",'Candidate Data'!$D14=Dashboard!$K$5))</x:f>
        <x:v>1</x:v>
      </x:c>
      <x:c r="C14" s="12" t="n">
        <x:f>IF(OR(B14=0,'Candidate Data'!$T14="Low",'Candidate Data'!$T14="Closed"),0,IF('Candidate Data'!$T14="High",300,200)+'Candidate Data'!$J14+ROW()/10000)</x:f>
        <x:v>207.0014</x:v>
      </x:c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2"/>
      <x:c r="AI14" s="12"/>
      <x:c r="AJ14" s="12"/>
      <x:c r="AK14" s="12"/>
      <x:c r="AL14" s="12"/>
      <x:c r="AM14" s="12"/>
      <x:c r="AN14" s="12"/>
    </x:row>
    <x:row r="15">
      <x:c r="A15" s="12" t="n">
        <x:f>'Candidate Data'!A15</x:f>
        <x:v>14</x:v>
      </x:c>
      <x:c r="B15" s="12" t="n">
        <x:f>--AND(OR(Dashboard!$A$5="All Time",AND(Dashboard!$A$5="Last 30 Days",'Candidate Data'!$H15&gt;=TODAY()-30),AND(Dashboard!$A$5="Last 60 Days",'Candidate Data'!$H15&gt;=TODAY()-60),AND(Dashboard!$A$5="This Month",MONTH('Candidate Data'!$H15)=MONTH(TODAY()),YEAR('Candidate Data'!$H15)=YEAR(TODAY()))),OR(Dashboard!$C$5="All",'Candidate Data'!$C15=Dashboard!$C$5),OR(Dashboard!$E$5="All",'Candidate Data'!$F15=Dashboard!$E$5),OR(Dashboard!$G$5="All",'Candidate Data'!$G15=Dashboard!$G$5),OR(Dashboard!$I$5="All",'Candidate Data'!$E15=Dashboard!$I$5),OR(Dashboard!$K$5="All",'Candidate Data'!$D15=Dashboard!$K$5))</x:f>
        <x:v>1</x:v>
      </x:c>
      <x:c r="C15" s="12" t="n">
        <x:f>IF(OR(B15=0,'Candidate Data'!$T15="Low",'Candidate Data'!$T15="Closed"),0,IF('Candidate Data'!$T15="High",300,200)+'Candidate Data'!$J15+ROW()/10000)</x:f>
        <x:v>309.0015</x:v>
      </x:c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2"/>
      <x:c r="AI15" s="12"/>
      <x:c r="AJ15" s="12"/>
      <x:c r="AK15" s="12"/>
      <x:c r="AL15" s="12"/>
      <x:c r="AM15" s="12"/>
      <x:c r="AN15" s="12"/>
    </x:row>
    <x:row r="16">
      <x:c r="A16" s="12" t="n">
        <x:f>'Candidate Data'!A16</x:f>
        <x:v>15</x:v>
      </x:c>
      <x:c r="B16" s="12" t="n">
        <x:f>--AND(OR(Dashboard!$A$5="All Time",AND(Dashboard!$A$5="Last 30 Days",'Candidate Data'!$H16&gt;=TODAY()-30),AND(Dashboard!$A$5="Last 60 Days",'Candidate Data'!$H16&gt;=TODAY()-60),AND(Dashboard!$A$5="This Month",MONTH('Candidate Data'!$H16)=MONTH(TODAY()),YEAR('Candidate Data'!$H16)=YEAR(TODAY()))),OR(Dashboard!$C$5="All",'Candidate Data'!$C16=Dashboard!$C$5),OR(Dashboard!$E$5="All",'Candidate Data'!$F16=Dashboard!$E$5),OR(Dashboard!$G$5="All",'Candidate Data'!$G16=Dashboard!$G$5),OR(Dashboard!$I$5="All",'Candidate Data'!$E16=Dashboard!$I$5),OR(Dashboard!$K$5="All",'Candidate Data'!$D16=Dashboard!$K$5))</x:f>
        <x:v>1</x:v>
      </x:c>
      <x:c r="C16" s="12" t="n">
        <x:f>IF(OR(B16=0,'Candidate Data'!$T16="Low",'Candidate Data'!$T16="Closed"),0,IF('Candidate Data'!$T16="High",300,200)+'Candidate Data'!$J16+ROW()/10000)</x:f>
        <x:v>0</x:v>
      </x:c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  <x:c r="AC16" s="12"/>
      <x:c r="AD16" s="12"/>
      <x:c r="AE16" s="12"/>
      <x:c r="AF16" s="12"/>
      <x:c r="AG16" s="12"/>
      <x:c r="AH16" s="12"/>
      <x:c r="AI16" s="12"/>
      <x:c r="AJ16" s="12"/>
      <x:c r="AK16" s="12"/>
      <x:c r="AL16" s="12"/>
      <x:c r="AM16" s="12"/>
      <x:c r="AN16" s="12"/>
    </x:row>
    <x:row r="17">
      <x:c r="A17" s="12" t="n">
        <x:f>'Candidate Data'!A17</x:f>
        <x:v>16</x:v>
      </x:c>
      <x:c r="B17" s="12" t="n">
        <x:f>--AND(OR(Dashboard!$A$5="All Time",AND(Dashboard!$A$5="Last 30 Days",'Candidate Data'!$H17&gt;=TODAY()-30),AND(Dashboard!$A$5="Last 60 Days",'Candidate Data'!$H17&gt;=TODAY()-60),AND(Dashboard!$A$5="This Month",MONTH('Candidate Data'!$H17)=MONTH(TODAY()),YEAR('Candidate Data'!$H17)=YEAR(TODAY()))),OR(Dashboard!$C$5="All",'Candidate Data'!$C17=Dashboard!$C$5),OR(Dashboard!$E$5="All",'Candidate Data'!$F17=Dashboard!$E$5),OR(Dashboard!$G$5="All",'Candidate Data'!$G17=Dashboard!$G$5),OR(Dashboard!$I$5="All",'Candidate Data'!$E17=Dashboard!$I$5),OR(Dashboard!$K$5="All",'Candidate Data'!$D17=Dashboard!$K$5))</x:f>
        <x:v>1</x:v>
      </x:c>
      <x:c r="C17" s="12" t="n">
        <x:f>IF(OR(B17=0,'Candidate Data'!$T17="Low",'Candidate Data'!$T17="Closed"),0,IF('Candidate Data'!$T17="High",300,200)+'Candidate Data'!$J17+ROW()/10000)</x:f>
        <x:v>0</x:v>
      </x:c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  <x:c r="AC17" s="12"/>
      <x:c r="AD17" s="12"/>
      <x:c r="AE17" s="12"/>
      <x:c r="AF17" s="12"/>
      <x:c r="AG17" s="12"/>
      <x:c r="AH17" s="12"/>
      <x:c r="AI17" s="12"/>
      <x:c r="AJ17" s="12"/>
      <x:c r="AK17" s="12"/>
      <x:c r="AL17" s="12"/>
      <x:c r="AM17" s="12"/>
      <x:c r="AN17" s="12"/>
    </x:row>
    <x:row r="18">
      <x:c r="A18" s="12" t="n">
        <x:f>'Candidate Data'!A18</x:f>
        <x:v>17</x:v>
      </x:c>
      <x:c r="B18" s="12" t="n">
        <x:f>--AND(OR(Dashboard!$A$5="All Time",AND(Dashboard!$A$5="Last 30 Days",'Candidate Data'!$H18&gt;=TODAY()-30),AND(Dashboard!$A$5="Last 60 Days",'Candidate Data'!$H18&gt;=TODAY()-60),AND(Dashboard!$A$5="This Month",MONTH('Candidate Data'!$H18)=MONTH(TODAY()),YEAR('Candidate Data'!$H18)=YEAR(TODAY()))),OR(Dashboard!$C$5="All",'Candidate Data'!$C18=Dashboard!$C$5),OR(Dashboard!$E$5="All",'Candidate Data'!$F18=Dashboard!$E$5),OR(Dashboard!$G$5="All",'Candidate Data'!$G18=Dashboard!$G$5),OR(Dashboard!$I$5="All",'Candidate Data'!$E18=Dashboard!$I$5),OR(Dashboard!$K$5="All",'Candidate Data'!$D18=Dashboard!$K$5))</x:f>
        <x:v>1</x:v>
      </x:c>
      <x:c r="C18" s="12" t="n">
        <x:f>IF(OR(B18=0,'Candidate Data'!$T18="Low",'Candidate Data'!$T18="Closed"),0,IF('Candidate Data'!$T18="High",300,200)+'Candidate Data'!$J18+ROW()/10000)</x:f>
        <x:v>208.0018</x:v>
      </x:c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  <x:c r="AC18" s="12"/>
      <x:c r="AD18" s="12"/>
      <x:c r="AE18" s="12"/>
      <x:c r="AF18" s="12"/>
      <x:c r="AG18" s="12"/>
      <x:c r="AH18" s="12"/>
      <x:c r="AI18" s="12"/>
      <x:c r="AJ18" s="12"/>
      <x:c r="AK18" s="12"/>
      <x:c r="AL18" s="12"/>
      <x:c r="AM18" s="12"/>
      <x:c r="AN18" s="12"/>
    </x:row>
    <x:row r="19">
      <x:c r="A19" s="12" t="n">
        <x:f>'Candidate Data'!A19</x:f>
        <x:v>18</x:v>
      </x:c>
      <x:c r="B19" s="12" t="n">
        <x:f>--AND(OR(Dashboard!$A$5="All Time",AND(Dashboard!$A$5="Last 30 Days",'Candidate Data'!$H19&gt;=TODAY()-30),AND(Dashboard!$A$5="Last 60 Days",'Candidate Data'!$H19&gt;=TODAY()-60),AND(Dashboard!$A$5="This Month",MONTH('Candidate Data'!$H19)=MONTH(TODAY()),YEAR('Candidate Data'!$H19)=YEAR(TODAY()))),OR(Dashboard!$C$5="All",'Candidate Data'!$C19=Dashboard!$C$5),OR(Dashboard!$E$5="All",'Candidate Data'!$F19=Dashboard!$E$5),OR(Dashboard!$G$5="All",'Candidate Data'!$G19=Dashboard!$G$5),OR(Dashboard!$I$5="All",'Candidate Data'!$E19=Dashboard!$I$5),OR(Dashboard!$K$5="All",'Candidate Data'!$D19=Dashboard!$K$5))</x:f>
        <x:v>1</x:v>
      </x:c>
      <x:c r="C19" s="12" t="n">
        <x:f>IF(OR(B19=0,'Candidate Data'!$T19="Low",'Candidate Data'!$T19="Closed"),0,IF('Candidate Data'!$T19="High",300,200)+'Candidate Data'!$J19+ROW()/10000)</x:f>
        <x:v>0</x:v>
      </x:c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  <x:c r="AC19" s="12"/>
      <x:c r="AD19" s="12"/>
      <x:c r="AE19" s="12"/>
      <x:c r="AF19" s="12"/>
      <x:c r="AG19" s="12"/>
      <x:c r="AH19" s="12"/>
      <x:c r="AI19" s="12"/>
      <x:c r="AJ19" s="12"/>
      <x:c r="AK19" s="12"/>
      <x:c r="AL19" s="12"/>
      <x:c r="AM19" s="12"/>
      <x:c r="AN19" s="12"/>
    </x:row>
    <x:row r="20">
      <x:c r="A20" s="12" t="n">
        <x:f>'Candidate Data'!A20</x:f>
        <x:v>19</x:v>
      </x:c>
      <x:c r="B20" s="12" t="n">
        <x:f>--AND(OR(Dashboard!$A$5="All Time",AND(Dashboard!$A$5="Last 30 Days",'Candidate Data'!$H20&gt;=TODAY()-30),AND(Dashboard!$A$5="Last 60 Days",'Candidate Data'!$H20&gt;=TODAY()-60),AND(Dashboard!$A$5="This Month",MONTH('Candidate Data'!$H20)=MONTH(TODAY()),YEAR('Candidate Data'!$H20)=YEAR(TODAY()))),OR(Dashboard!$C$5="All",'Candidate Data'!$C20=Dashboard!$C$5),OR(Dashboard!$E$5="All",'Candidate Data'!$F20=Dashboard!$E$5),OR(Dashboard!$G$5="All",'Candidate Data'!$G20=Dashboard!$G$5),OR(Dashboard!$I$5="All",'Candidate Data'!$E20=Dashboard!$I$5),OR(Dashboard!$K$5="All",'Candidate Data'!$D20=Dashboard!$K$5))</x:f>
        <x:v>1</x:v>
      </x:c>
      <x:c r="C20" s="12" t="n">
        <x:f>IF(OR(B20=0,'Candidate Data'!$T20="Low",'Candidate Data'!$T20="Closed"),0,IF('Candidate Data'!$T20="High",300,200)+'Candidate Data'!$J20+ROW()/10000)</x:f>
        <x:v>0</x:v>
      </x:c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2"/>
      <x:c r="AI20" s="12"/>
      <x:c r="AJ20" s="12"/>
      <x:c r="AK20" s="12"/>
      <x:c r="AL20" s="12"/>
      <x:c r="AM20" s="12"/>
      <x:c r="AN20" s="12"/>
    </x:row>
    <x:row r="21">
      <x:c r="A21" s="12" t="n">
        <x:f>'Candidate Data'!A21</x:f>
        <x:v>20</x:v>
      </x:c>
      <x:c r="B21" s="12" t="n">
        <x:f>--AND(OR(Dashboard!$A$5="All Time",AND(Dashboard!$A$5="Last 30 Days",'Candidate Data'!$H21&gt;=TODAY()-30),AND(Dashboard!$A$5="Last 60 Days",'Candidate Data'!$H21&gt;=TODAY()-60),AND(Dashboard!$A$5="This Month",MONTH('Candidate Data'!$H21)=MONTH(TODAY()),YEAR('Candidate Data'!$H21)=YEAR(TODAY()))),OR(Dashboard!$C$5="All",'Candidate Data'!$C21=Dashboard!$C$5),OR(Dashboard!$E$5="All",'Candidate Data'!$F21=Dashboard!$E$5),OR(Dashboard!$G$5="All",'Candidate Data'!$G21=Dashboard!$G$5),OR(Dashboard!$I$5="All",'Candidate Data'!$E21=Dashboard!$I$5),OR(Dashboard!$K$5="All",'Candidate Data'!$D21=Dashboard!$K$5))</x:f>
        <x:v>1</x:v>
      </x:c>
      <x:c r="C21" s="12" t="n">
        <x:f>IF(OR(B21=0,'Candidate Data'!$T21="Low",'Candidate Data'!$T21="Closed"),0,IF('Candidate Data'!$T21="High",300,200)+'Candidate Data'!$J21+ROW()/10000)</x:f>
        <x:v>0</x:v>
      </x:c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  <x:c r="AC21" s="12"/>
      <x:c r="AD21" s="12"/>
      <x:c r="AE21" s="12"/>
      <x:c r="AF21" s="12"/>
      <x:c r="AG21" s="12"/>
      <x:c r="AH21" s="12"/>
      <x:c r="AI21" s="12"/>
      <x:c r="AJ21" s="12"/>
      <x:c r="AK21" s="12"/>
      <x:c r="AL21" s="12"/>
      <x:c r="AM21" s="12"/>
      <x:c r="AN21" s="12"/>
    </x:row>
    <x:row r="22">
      <x:c r="A22" s="12" t="n">
        <x:f>'Candidate Data'!A22</x:f>
        <x:v>21</x:v>
      </x:c>
      <x:c r="B22" s="12" t="n">
        <x:f>--AND(OR(Dashboard!$A$5="All Time",AND(Dashboard!$A$5="Last 30 Days",'Candidate Data'!$H22&gt;=TODAY()-30),AND(Dashboard!$A$5="Last 60 Days",'Candidate Data'!$H22&gt;=TODAY()-60),AND(Dashboard!$A$5="This Month",MONTH('Candidate Data'!$H22)=MONTH(TODAY()),YEAR('Candidate Data'!$H22)=YEAR(TODAY()))),OR(Dashboard!$C$5="All",'Candidate Data'!$C22=Dashboard!$C$5),OR(Dashboard!$E$5="All",'Candidate Data'!$F22=Dashboard!$E$5),OR(Dashboard!$G$5="All",'Candidate Data'!$G22=Dashboard!$G$5),OR(Dashboard!$I$5="All",'Candidate Data'!$E22=Dashboard!$I$5),OR(Dashboard!$K$5="All",'Candidate Data'!$D22=Dashboard!$K$5))</x:f>
        <x:v>1</x:v>
      </x:c>
      <x:c r="C22" s="12" t="n">
        <x:f>IF(OR(B22=0,'Candidate Data'!$T22="Low",'Candidate Data'!$T22="Closed"),0,IF('Candidate Data'!$T22="High",300,200)+'Candidate Data'!$J22+ROW()/10000)</x:f>
        <x:v>0</x:v>
      </x:c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2"/>
      <x:c r="AI22" s="12"/>
      <x:c r="AJ22" s="12"/>
      <x:c r="AK22" s="12"/>
      <x:c r="AL22" s="12"/>
      <x:c r="AM22" s="12"/>
      <x:c r="AN22" s="12"/>
    </x:row>
    <x:row r="23">
      <x:c r="A23" s="12" t="n">
        <x:f>'Candidate Data'!A23</x:f>
        <x:v>22</x:v>
      </x:c>
      <x:c r="B23" s="12" t="n">
        <x:f>--AND(OR(Dashboard!$A$5="All Time",AND(Dashboard!$A$5="Last 30 Days",'Candidate Data'!$H23&gt;=TODAY()-30),AND(Dashboard!$A$5="Last 60 Days",'Candidate Data'!$H23&gt;=TODAY()-60),AND(Dashboard!$A$5="This Month",MONTH('Candidate Data'!$H23)=MONTH(TODAY()),YEAR('Candidate Data'!$H23)=YEAR(TODAY()))),OR(Dashboard!$C$5="All",'Candidate Data'!$C23=Dashboard!$C$5),OR(Dashboard!$E$5="All",'Candidate Data'!$F23=Dashboard!$E$5),OR(Dashboard!$G$5="All",'Candidate Data'!$G23=Dashboard!$G$5),OR(Dashboard!$I$5="All",'Candidate Data'!$E23=Dashboard!$I$5),OR(Dashboard!$K$5="All",'Candidate Data'!$D23=Dashboard!$K$5))</x:f>
        <x:v>1</x:v>
      </x:c>
      <x:c r="C23" s="12" t="n">
        <x:f>IF(OR(B23=0,'Candidate Data'!$T23="Low",'Candidate Data'!$T23="Closed"),0,IF('Candidate Data'!$T23="High",300,200)+'Candidate Data'!$J23+ROW()/10000)</x:f>
        <x:v>205.0023</x:v>
      </x:c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  <x:c r="AC23" s="12"/>
      <x:c r="AD23" s="12"/>
      <x:c r="AE23" s="12"/>
      <x:c r="AF23" s="12"/>
      <x:c r="AG23" s="12"/>
      <x:c r="AH23" s="12"/>
      <x:c r="AI23" s="12"/>
      <x:c r="AJ23" s="12"/>
      <x:c r="AK23" s="12"/>
      <x:c r="AL23" s="12"/>
      <x:c r="AM23" s="12"/>
      <x:c r="AN23" s="12"/>
    </x:row>
    <x:row r="24">
      <x:c r="A24" s="12" t="n">
        <x:f>'Candidate Data'!A24</x:f>
        <x:v>23</x:v>
      </x:c>
      <x:c r="B24" s="12" t="n">
        <x:f>--AND(OR(Dashboard!$A$5="All Time",AND(Dashboard!$A$5="Last 30 Days",'Candidate Data'!$H24&gt;=TODAY()-30),AND(Dashboard!$A$5="Last 60 Days",'Candidate Data'!$H24&gt;=TODAY()-60),AND(Dashboard!$A$5="This Month",MONTH('Candidate Data'!$H24)=MONTH(TODAY()),YEAR('Candidate Data'!$H24)=YEAR(TODAY()))),OR(Dashboard!$C$5="All",'Candidate Data'!$C24=Dashboard!$C$5),OR(Dashboard!$E$5="All",'Candidate Data'!$F24=Dashboard!$E$5),OR(Dashboard!$G$5="All",'Candidate Data'!$G24=Dashboard!$G$5),OR(Dashboard!$I$5="All",'Candidate Data'!$E24=Dashboard!$I$5),OR(Dashboard!$K$5="All",'Candidate Data'!$D24=Dashboard!$K$5))</x:f>
        <x:v>1</x:v>
      </x:c>
      <x:c r="C24" s="12" t="n">
        <x:f>IF(OR(B24=0,'Candidate Data'!$T24="Low",'Candidate Data'!$T24="Closed"),0,IF('Candidate Data'!$T24="High",300,200)+'Candidate Data'!$J24+ROW()/10000)</x:f>
        <x:v>0</x:v>
      </x:c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  <x:c r="AC24" s="12"/>
      <x:c r="AD24" s="12"/>
      <x:c r="AE24" s="12"/>
      <x:c r="AF24" s="12"/>
      <x:c r="AG24" s="12"/>
      <x:c r="AH24" s="12"/>
      <x:c r="AI24" s="12"/>
      <x:c r="AJ24" s="12"/>
      <x:c r="AK24" s="12"/>
      <x:c r="AL24" s="12"/>
      <x:c r="AM24" s="12"/>
      <x:c r="AN24" s="12"/>
    </x:row>
    <x:row r="25">
      <x:c r="A25" s="12" t="n">
        <x:f>'Candidate Data'!A25</x:f>
        <x:v>24</x:v>
      </x:c>
      <x:c r="B25" s="12" t="n">
        <x:f>--AND(OR(Dashboard!$A$5="All Time",AND(Dashboard!$A$5="Last 30 Days",'Candidate Data'!$H25&gt;=TODAY()-30),AND(Dashboard!$A$5="Last 60 Days",'Candidate Data'!$H25&gt;=TODAY()-60),AND(Dashboard!$A$5="This Month",MONTH('Candidate Data'!$H25)=MONTH(TODAY()),YEAR('Candidate Data'!$H25)=YEAR(TODAY()))),OR(Dashboard!$C$5="All",'Candidate Data'!$C25=Dashboard!$C$5),OR(Dashboard!$E$5="All",'Candidate Data'!$F25=Dashboard!$E$5),OR(Dashboard!$G$5="All",'Candidate Data'!$G25=Dashboard!$G$5),OR(Dashboard!$I$5="All",'Candidate Data'!$E25=Dashboard!$I$5),OR(Dashboard!$K$5="All",'Candidate Data'!$D25=Dashboard!$K$5))</x:f>
        <x:v>1</x:v>
      </x:c>
      <x:c r="C25" s="12" t="n">
        <x:f>IF(OR(B25=0,'Candidate Data'!$T25="Low",'Candidate Data'!$T25="Closed"),0,IF('Candidate Data'!$T25="High",300,200)+'Candidate Data'!$J25+ROW()/10000)</x:f>
        <x:v>304.0025</x:v>
      </x:c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  <x:c r="AC25" s="12"/>
      <x:c r="AD25" s="12"/>
      <x:c r="AE25" s="12"/>
      <x:c r="AF25" s="12"/>
      <x:c r="AG25" s="12"/>
      <x:c r="AH25" s="12"/>
      <x:c r="AI25" s="12"/>
      <x:c r="AJ25" s="12"/>
      <x:c r="AK25" s="12"/>
      <x:c r="AL25" s="12"/>
      <x:c r="AM25" s="12"/>
      <x:c r="AN25" s="12"/>
    </x:row>
    <x:row r="26">
      <x:c r="A26" s="12" t="n">
        <x:f>'Candidate Data'!A26</x:f>
        <x:v>25</x:v>
      </x:c>
      <x:c r="B26" s="12" t="n">
        <x:f>--AND(OR(Dashboard!$A$5="All Time",AND(Dashboard!$A$5="Last 30 Days",'Candidate Data'!$H26&gt;=TODAY()-30),AND(Dashboard!$A$5="Last 60 Days",'Candidate Data'!$H26&gt;=TODAY()-60),AND(Dashboard!$A$5="This Month",MONTH('Candidate Data'!$H26)=MONTH(TODAY()),YEAR('Candidate Data'!$H26)=YEAR(TODAY()))),OR(Dashboard!$C$5="All",'Candidate Data'!$C26=Dashboard!$C$5),OR(Dashboard!$E$5="All",'Candidate Data'!$F26=Dashboard!$E$5),OR(Dashboard!$G$5="All",'Candidate Data'!$G26=Dashboard!$G$5),OR(Dashboard!$I$5="All",'Candidate Data'!$E26=Dashboard!$I$5),OR(Dashboard!$K$5="All",'Candidate Data'!$D26=Dashboard!$K$5))</x:f>
        <x:v>1</x:v>
      </x:c>
      <x:c r="C26" s="12" t="n">
        <x:f>IF(OR(B26=0,'Candidate Data'!$T26="Low",'Candidate Data'!$T26="Closed"),0,IF('Candidate Data'!$T26="High",300,200)+'Candidate Data'!$J26+ROW()/10000)</x:f>
        <x:v>0</x:v>
      </x:c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  <x:c r="AH26" s="12"/>
      <x:c r="AI26" s="12"/>
      <x:c r="AJ26" s="12"/>
      <x:c r="AK26" s="12"/>
      <x:c r="AL26" s="12"/>
      <x:c r="AM26" s="12"/>
      <x:c r="AN26" s="12"/>
    </x:row>
    <x:row r="27">
      <x:c r="A27" s="12" t="n">
        <x:f>'Candidate Data'!A27</x:f>
        <x:v>26</x:v>
      </x:c>
      <x:c r="B27" s="12" t="n">
        <x:f>--AND(OR(Dashboard!$A$5="All Time",AND(Dashboard!$A$5="Last 30 Days",'Candidate Data'!$H27&gt;=TODAY()-30),AND(Dashboard!$A$5="Last 60 Days",'Candidate Data'!$H27&gt;=TODAY()-60),AND(Dashboard!$A$5="This Month",MONTH('Candidate Data'!$H27)=MONTH(TODAY()),YEAR('Candidate Data'!$H27)=YEAR(TODAY()))),OR(Dashboard!$C$5="All",'Candidate Data'!$C27=Dashboard!$C$5),OR(Dashboard!$E$5="All",'Candidate Data'!$F27=Dashboard!$E$5),OR(Dashboard!$G$5="All",'Candidate Data'!$G27=Dashboard!$G$5),OR(Dashboard!$I$5="All",'Candidate Data'!$E27=Dashboard!$I$5),OR(Dashboard!$K$5="All",'Candidate Data'!$D27=Dashboard!$K$5))</x:f>
        <x:v>1</x:v>
      </x:c>
      <x:c r="C27" s="12" t="n">
        <x:f>IF(OR(B27=0,'Candidate Data'!$T27="Low",'Candidate Data'!$T27="Closed"),0,IF('Candidate Data'!$T27="High",300,200)+'Candidate Data'!$J27+ROW()/10000)</x:f>
        <x:v>209.0027</x:v>
      </x:c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2"/>
      <x:c r="AI27" s="12"/>
      <x:c r="AJ27" s="12"/>
      <x:c r="AK27" s="12"/>
      <x:c r="AL27" s="12"/>
      <x:c r="AM27" s="12"/>
      <x:c r="AN27" s="12"/>
    </x:row>
    <x:row r="28">
      <x:c r="A28" s="12" t="n">
        <x:f>'Candidate Data'!A28</x:f>
        <x:v>27</x:v>
      </x:c>
      <x:c r="B28" s="12" t="n">
        <x:f>--AND(OR(Dashboard!$A$5="All Time",AND(Dashboard!$A$5="Last 30 Days",'Candidate Data'!$H28&gt;=TODAY()-30),AND(Dashboard!$A$5="Last 60 Days",'Candidate Data'!$H28&gt;=TODAY()-60),AND(Dashboard!$A$5="This Month",MONTH('Candidate Data'!$H28)=MONTH(TODAY()),YEAR('Candidate Data'!$H28)=YEAR(TODAY()))),OR(Dashboard!$C$5="All",'Candidate Data'!$C28=Dashboard!$C$5),OR(Dashboard!$E$5="All",'Candidate Data'!$F28=Dashboard!$E$5),OR(Dashboard!$G$5="All",'Candidate Data'!$G28=Dashboard!$G$5),OR(Dashboard!$I$5="All",'Candidate Data'!$E28=Dashboard!$I$5),OR(Dashboard!$K$5="All",'Candidate Data'!$D28=Dashboard!$K$5))</x:f>
        <x:v>1</x:v>
      </x:c>
      <x:c r="C28" s="12" t="n">
        <x:f>IF(OR(B28=0,'Candidate Data'!$T28="Low",'Candidate Data'!$T28="Closed"),0,IF('Candidate Data'!$T28="High",300,200)+'Candidate Data'!$J28+ROW()/10000)</x:f>
        <x:v>310.0028</x:v>
      </x:c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  <x:c r="AH28" s="12"/>
      <x:c r="AI28" s="12"/>
      <x:c r="AJ28" s="12"/>
      <x:c r="AK28" s="12"/>
      <x:c r="AL28" s="12"/>
      <x:c r="AM28" s="12"/>
      <x:c r="AN28" s="12"/>
    </x:row>
    <x:row r="29">
      <x:c r="A29" s="12" t="n">
        <x:f>'Candidate Data'!A29</x:f>
        <x:v>28</x:v>
      </x:c>
      <x:c r="B29" s="12" t="n">
        <x:f>--AND(OR(Dashboard!$A$5="All Time",AND(Dashboard!$A$5="Last 30 Days",'Candidate Data'!$H29&gt;=TODAY()-30),AND(Dashboard!$A$5="Last 60 Days",'Candidate Data'!$H29&gt;=TODAY()-60),AND(Dashboard!$A$5="This Month",MONTH('Candidate Data'!$H29)=MONTH(TODAY()),YEAR('Candidate Data'!$H29)=YEAR(TODAY()))),OR(Dashboard!$C$5="All",'Candidate Data'!$C29=Dashboard!$C$5),OR(Dashboard!$E$5="All",'Candidate Data'!$F29=Dashboard!$E$5),OR(Dashboard!$G$5="All",'Candidate Data'!$G29=Dashboard!$G$5),OR(Dashboard!$I$5="All",'Candidate Data'!$E29=Dashboard!$I$5),OR(Dashboard!$K$5="All",'Candidate Data'!$D29=Dashboard!$K$5))</x:f>
        <x:v>1</x:v>
      </x:c>
      <x:c r="C29" s="12" t="n">
        <x:f>IF(OR(B29=0,'Candidate Data'!$T29="Low",'Candidate Data'!$T29="Closed"),0,IF('Candidate Data'!$T29="High",300,200)+'Candidate Data'!$J29+ROW()/10000)</x:f>
        <x:v>0</x:v>
      </x:c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/>
      <x:c r="AI29" s="12"/>
      <x:c r="AJ29" s="12"/>
      <x:c r="AK29" s="12"/>
      <x:c r="AL29" s="12"/>
      <x:c r="AM29" s="12"/>
      <x:c r="AN29" s="12"/>
    </x:row>
    <x:row r="30">
      <x:c r="A30" s="12" t="n">
        <x:f>'Candidate Data'!A30</x:f>
        <x:v>29</x:v>
      </x:c>
      <x:c r="B30" s="12" t="n">
        <x:f>--AND(OR(Dashboard!$A$5="All Time",AND(Dashboard!$A$5="Last 30 Days",'Candidate Data'!$H30&gt;=TODAY()-30),AND(Dashboard!$A$5="Last 60 Days",'Candidate Data'!$H30&gt;=TODAY()-60),AND(Dashboard!$A$5="This Month",MONTH('Candidate Data'!$H30)=MONTH(TODAY()),YEAR('Candidate Data'!$H30)=YEAR(TODAY()))),OR(Dashboard!$C$5="All",'Candidate Data'!$C30=Dashboard!$C$5),OR(Dashboard!$E$5="All",'Candidate Data'!$F30=Dashboard!$E$5),OR(Dashboard!$G$5="All",'Candidate Data'!$G30=Dashboard!$G$5),OR(Dashboard!$I$5="All",'Candidate Data'!$E30=Dashboard!$I$5),OR(Dashboard!$K$5="All",'Candidate Data'!$D30=Dashboard!$K$5))</x:f>
        <x:v>1</x:v>
      </x:c>
      <x:c r="C30" s="12" t="n">
        <x:f>IF(OR(B30=0,'Candidate Data'!$T30="Low",'Candidate Data'!$T30="Closed"),0,IF('Candidate Data'!$T30="High",300,200)+'Candidate Data'!$J30+ROW()/10000)</x:f>
        <x:v>308.003</x:v>
      </x:c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/>
      <x:c r="AI30" s="12"/>
      <x:c r="AJ30" s="12"/>
      <x:c r="AK30" s="12"/>
      <x:c r="AL30" s="12"/>
      <x:c r="AM30" s="12"/>
      <x:c r="AN30" s="12"/>
    </x:row>
    <x:row r="31">
      <x:c r="A31" s="12" t="n">
        <x:f>'Candidate Data'!A31</x:f>
        <x:v>30</x:v>
      </x:c>
      <x:c r="B31" s="12" t="n">
        <x:f>--AND(OR(Dashboard!$A$5="All Time",AND(Dashboard!$A$5="Last 30 Days",'Candidate Data'!$H31&gt;=TODAY()-30),AND(Dashboard!$A$5="Last 60 Days",'Candidate Data'!$H31&gt;=TODAY()-60),AND(Dashboard!$A$5="This Month",MONTH('Candidate Data'!$H31)=MONTH(TODAY()),YEAR('Candidate Data'!$H31)=YEAR(TODAY()))),OR(Dashboard!$C$5="All",'Candidate Data'!$C31=Dashboard!$C$5),OR(Dashboard!$E$5="All",'Candidate Data'!$F31=Dashboard!$E$5),OR(Dashboard!$G$5="All",'Candidate Data'!$G31=Dashboard!$G$5),OR(Dashboard!$I$5="All",'Candidate Data'!$E31=Dashboard!$I$5),OR(Dashboard!$K$5="All",'Candidate Data'!$D31=Dashboard!$K$5))</x:f>
        <x:v>1</x:v>
      </x:c>
      <x:c r="C31" s="12" t="n">
        <x:f>IF(OR(B31=0,'Candidate Data'!$T31="Low",'Candidate Data'!$T31="Closed"),0,IF('Candidate Data'!$T31="High",300,200)+'Candidate Data'!$J31+ROW()/10000)</x:f>
        <x:v>0</x:v>
      </x:c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/>
      <x:c r="AI31" s="12"/>
      <x:c r="AJ31" s="12"/>
      <x:c r="AK31" s="12"/>
      <x:c r="AL31" s="12"/>
      <x:c r="AM31" s="12"/>
      <x:c r="AN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/>
      <x:c r="AI32" s="12"/>
      <x:c r="AJ32" s="12"/>
      <x:c r="AK32" s="12"/>
      <x:c r="AL32" s="12"/>
      <x:c r="AM32" s="12"/>
      <x:c r="AN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/>
      <x:c r="AI33" s="12"/>
      <x:c r="AJ33" s="12"/>
      <x:c r="AK33" s="12"/>
      <x:c r="AL33" s="12"/>
      <x:c r="AM33" s="12"/>
      <x:c r="AN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/>
      <x:c r="AI34" s="12"/>
      <x:c r="AJ34" s="12"/>
      <x:c r="AK34" s="12"/>
      <x:c r="AL34" s="12"/>
      <x:c r="AM34" s="12"/>
      <x:c r="AN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2"/>
      <x:c r="AI35" s="12"/>
      <x:c r="AJ35" s="12"/>
      <x:c r="AK35" s="12"/>
      <x:c r="AL35" s="12"/>
      <x:c r="AM35" s="12"/>
      <x:c r="AN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2"/>
      <x:c r="AI36" s="12"/>
      <x:c r="AJ36" s="12"/>
      <x:c r="AK36" s="12"/>
      <x:c r="AL36" s="12"/>
      <x:c r="AM36" s="12"/>
      <x:c r="AN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2"/>
      <x:c r="AI37" s="12"/>
      <x:c r="AJ37" s="12"/>
      <x:c r="AK37" s="12"/>
      <x:c r="AL37" s="12"/>
      <x:c r="AM37" s="12"/>
      <x:c r="AN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2"/>
      <x:c r="AI38" s="12"/>
      <x:c r="AJ38" s="12"/>
      <x:c r="AK38" s="12"/>
      <x:c r="AL38" s="12"/>
      <x:c r="AM38" s="12"/>
      <x:c r="AN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/>
      <x:c r="AI39" s="12"/>
      <x:c r="AJ39" s="12"/>
      <x:c r="AK39" s="12"/>
      <x:c r="AL39" s="12"/>
      <x:c r="AM39" s="12"/>
      <x:c r="AN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2"/>
      <x:c r="AI40" s="12"/>
      <x:c r="AJ40" s="12"/>
      <x:c r="AK40" s="12"/>
      <x:c r="AL40" s="12"/>
      <x:c r="AM40" s="12"/>
      <x:c r="AN4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</x:cols>
  <x:sheetData>
    <x:row r="1" ht="26" customHeight="1">
      <x:c r="A1" s="34" t="str">
        <x:v>Department Filter</x:v>
      </x:c>
      <x:c r="B1" s="34" t="str">
        <x:v>Job Role Filter</x:v>
      </x:c>
      <x:c r="C1" s="34" t="str">
        <x:v>Recruiter Filter</x:v>
      </x:c>
      <x:c r="D1" s="34" t="str">
        <x:v>Location Filter</x:v>
      </x:c>
      <x:c r="E1" s="34" t="str">
        <x:v>Stage Filter</x:v>
      </x:c>
      <x:c r="F1" s="34" t="str">
        <x:v>Period Filter</x:v>
      </x:c>
      <x:c r="G1" s="34" t="str">
        <x:v>Application Source</x:v>
      </x:c>
    </x:row>
    <x:row r="2" ht="21" customHeight="1">
      <x:c r="A2" s="37" t="str">
        <x:v>All</x:v>
      </x:c>
      <x:c r="B2" s="37" t="str">
        <x:v>All</x:v>
      </x:c>
      <x:c r="C2" s="37" t="str">
        <x:v>All</x:v>
      </x:c>
      <x:c r="D2" s="37" t="str">
        <x:v>All</x:v>
      </x:c>
      <x:c r="E2" s="37" t="str">
        <x:v>All</x:v>
      </x:c>
      <x:c r="F2" s="37" t="str">
        <x:v>All Time</x:v>
      </x:c>
      <x:c r="G2" s="37" t="str">
        <x:v>LinkedIn</x:v>
      </x:c>
    </x:row>
    <x:row r="3" ht="21" customHeight="1">
      <x:c r="A3" s="37" t="str">
        <x:v>Finance</x:v>
      </x:c>
      <x:c r="B3" s="37" t="str">
        <x:v>Account Manager</x:v>
      </x:c>
      <x:c r="C3" s="37" t="str">
        <x:v>Aisha Khan</x:v>
      </x:c>
      <x:c r="D3" s="37" t="str">
        <x:v>Delhi</x:v>
      </x:c>
      <x:c r="E3" s="37" t="str">
        <x:v>Applied</x:v>
      </x:c>
      <x:c r="F3" s="37" t="str">
        <x:v>Last 30 Days</x:v>
      </x:c>
      <x:c r="G3" s="37" t="str">
        <x:v>Referral</x:v>
      </x:c>
    </x:row>
    <x:row r="4" ht="21" customHeight="1">
      <x:c r="A4" s="37" t="str">
        <x:v>Sales</x:v>
      </x:c>
      <x:c r="B4" s="37" t="str">
        <x:v>Accounts Executive</x:v>
      </x:c>
      <x:c r="C4" s="37" t="str">
        <x:v>Kavya Nair</x:v>
      </x:c>
      <x:c r="D4" s="37" t="str">
        <x:v>Mumbai</x:v>
      </x:c>
      <x:c r="E4" s="37" t="str">
        <x:v>Screening</x:v>
      </x:c>
      <x:c r="F4" s="37" t="str">
        <x:v>Last 60 Days</x:v>
      </x:c>
      <x:c r="G4" s="37" t="str">
        <x:v>Careers Page</x:v>
      </x:c>
    </x:row>
    <x:row r="5" ht="21" customHeight="1">
      <x:c r="A5" s="37" t="str">
        <x:v>IT</x:v>
      </x:c>
      <x:c r="B5" s="37" t="str">
        <x:v>Backend Developer</x:v>
      </x:c>
      <x:c r="C5" s="37" t="str">
        <x:v>Meera Shah</x:v>
      </x:c>
      <x:c r="D5" s="37" t="str">
        <x:v>Hyderabad</x:v>
      </x:c>
      <x:c r="E5" s="37" t="str">
        <x:v>Interview</x:v>
      </x:c>
      <x:c r="F5" s="37" t="str">
        <x:v>This Month</x:v>
      </x:c>
      <x:c r="G5" s="37" t="str">
        <x:v>Naukri</x:v>
      </x:c>
    </x:row>
    <x:row r="6" ht="21" customHeight="1">
      <x:c r="A6" s="37" t="str">
        <x:v>HR</x:v>
      </x:c>
      <x:c r="B6" s="37" t="str">
        <x:v>Business Development Executive</x:v>
      </x:c>
      <x:c r="C6" s="37" t="str">
        <x:v>Rohan Mehta</x:v>
      </x:c>
      <x:c r="D6" s="37" t="str">
        <x:v>Bangalore</x:v>
      </x:c>
      <x:c r="E6" s="37" t="str">
        <x:v>Offer</x:v>
      </x:c>
      <x:c r="F6" s="37"/>
      <x:c r="G6" s="37" t="str">
        <x:v>Indeed</x:v>
      </x:c>
    </x:row>
    <x:row r="7" ht="21" customHeight="1">
      <x:c r="A7" s="37"/>
      <x:c r="B7" s="37" t="str">
        <x:v>Credit Analyst</x:v>
      </x:c>
      <x:c r="C7" s="37"/>
      <x:c r="D7" s="37" t="str">
        <x:v>Chennai</x:v>
      </x:c>
      <x:c r="E7" s="37" t="str">
        <x:v>Hired</x:v>
      </x:c>
      <x:c r="F7" s="37"/>
      <x:c r="G7" s="37"/>
    </x:row>
    <x:row r="8" ht="21" customHeight="1">
      <x:c r="A8" s="37"/>
      <x:c r="B8" s="37" t="str">
        <x:v>Data Analyst</x:v>
      </x:c>
      <x:c r="C8" s="37"/>
      <x:c r="D8" s="37" t="str">
        <x:v>Pune</x:v>
      </x:c>
      <x:c r="E8" s="37" t="str">
        <x:v>Rejected</x:v>
      </x:c>
      <x:c r="F8" s="37"/>
      <x:c r="G8" s="37"/>
    </x:row>
    <x:row r="9" ht="21" customHeight="1">
      <x:c r="A9" s="37"/>
      <x:c r="B9" s="37" t="str">
        <x:v>DevOps Engineer</x:v>
      </x:c>
      <x:c r="C9" s="37"/>
      <x:c r="D9" s="37" t="str">
        <x:v>Kolkata</x:v>
      </x:c>
      <x:c r="E9" s="37"/>
      <x:c r="F9" s="37"/>
      <x:c r="G9" s="37"/>
    </x:row>
    <x:row r="10" ht="21" customHeight="1">
      <x:c r="A10" s="37"/>
      <x:c r="B10" s="37" t="str">
        <x:v>FP&amp;A Analyst</x:v>
      </x:c>
      <x:c r="C10" s="37"/>
      <x:c r="D10" s="37"/>
      <x:c r="E10" s="37"/>
      <x:c r="F10" s="37"/>
      <x:c r="G10" s="37"/>
    </x:row>
    <x:row r="11" ht="21" customHeight="1">
      <x:c r="A11" s="37"/>
      <x:c r="B11" s="37" t="str">
        <x:v>Finance Analyst</x:v>
      </x:c>
      <x:c r="C11" s="37"/>
      <x:c r="D11" s="37"/>
      <x:c r="E11" s="37"/>
      <x:c r="F11" s="37"/>
      <x:c r="G11" s="37"/>
    </x:row>
    <x:row r="12" ht="21" customHeight="1">
      <x:c r="A12" s="37"/>
      <x:c r="B12" s="37" t="str">
        <x:v>Finance Manager</x:v>
      </x:c>
      <x:c r="C12" s="37"/>
      <x:c r="D12" s="37"/>
      <x:c r="E12" s="37"/>
      <x:c r="F12" s="37"/>
      <x:c r="G12" s="37"/>
    </x:row>
    <x:row r="13" ht="21" customHeight="1">
      <x:c r="A13" s="37"/>
      <x:c r="B13" s="37" t="str">
        <x:v>Financial Analyst</x:v>
      </x:c>
      <x:c r="C13" s="37"/>
      <x:c r="D13" s="37"/>
      <x:c r="E13" s="37"/>
      <x:c r="F13" s="37"/>
      <x:c r="G13" s="37"/>
    </x:row>
    <x:row r="14" ht="21" customHeight="1">
      <x:c r="A14" s="37"/>
      <x:c r="B14" s="37" t="str">
        <x:v>Frontend Developer</x:v>
      </x:c>
      <x:c r="C14" s="37"/>
      <x:c r="D14" s="37"/>
      <x:c r="E14" s="37"/>
      <x:c r="F14" s="37"/>
      <x:c r="G14" s="37"/>
    </x:row>
    <x:row r="15" ht="21" customHeight="1">
      <x:c r="A15" s="37"/>
      <x:c r="B15" s="37" t="str">
        <x:v>Full Stack Developer</x:v>
      </x:c>
      <x:c r="C15" s="37"/>
      <x:c r="D15" s="37"/>
      <x:c r="E15" s="37"/>
      <x:c r="F15" s="37"/>
      <x:c r="G15" s="37"/>
    </x:row>
    <x:row r="16" ht="21" customHeight="1">
      <x:c r="A16" s="37"/>
      <x:c r="B16" s="37" t="str">
        <x:v>HR Analyst</x:v>
      </x:c>
      <x:c r="C16" s="37"/>
      <x:c r="D16" s="37"/>
      <x:c r="E16" s="37"/>
      <x:c r="F16" s="37"/>
      <x:c r="G16" s="37"/>
    </x:row>
    <x:row r="17" ht="21" customHeight="1">
      <x:c r="A17" s="37"/>
      <x:c r="B17" s="37" t="str">
        <x:v>HR Business Partner</x:v>
      </x:c>
      <x:c r="C17" s="37"/>
      <x:c r="D17" s="37"/>
      <x:c r="E17" s="37"/>
      <x:c r="F17" s="37"/>
      <x:c r="G17" s="37"/>
    </x:row>
    <x:row r="18" ht="21" customHeight="1">
      <x:c r="A18" s="37"/>
      <x:c r="B18" s="37" t="str">
        <x:v>HR Coordinator</x:v>
      </x:c>
      <x:c r="C18" s="37"/>
      <x:c r="D18" s="37"/>
      <x:c r="E18" s="37"/>
      <x:c r="F18" s="37"/>
      <x:c r="G18" s="37"/>
    </x:row>
    <x:row r="19" ht="21" customHeight="1">
      <x:c r="A19" s="37"/>
      <x:c r="B19" s="37" t="str">
        <x:v>HR Executive</x:v>
      </x:c>
      <x:c r="C19" s="37"/>
      <x:c r="D19" s="37"/>
      <x:c r="E19" s="37"/>
      <x:c r="F19" s="37"/>
      <x:c r="G19" s="37"/>
    </x:row>
    <x:row r="20" ht="21" customHeight="1">
      <x:c r="A20" s="37"/>
      <x:c r="B20" s="37" t="str">
        <x:v>Inside Sales Executive</x:v>
      </x:c>
      <x:c r="C20" s="37"/>
      <x:c r="D20" s="37"/>
      <x:c r="E20" s="37"/>
      <x:c r="F20" s="37"/>
      <x:c r="G20" s="37"/>
    </x:row>
    <x:row r="21" ht="21" customHeight="1">
      <x:c r="A21" s="37"/>
      <x:c r="B21" s="37" t="str">
        <x:v>Key Account Executive</x:v>
      </x:c>
      <x:c r="C21" s="37"/>
      <x:c r="D21" s="37"/>
      <x:c r="E21" s="37"/>
      <x:c r="F21" s="37"/>
      <x:c r="G21" s="37"/>
    </x:row>
    <x:row r="22" ht="21" customHeight="1">
      <x:c r="A22" s="37"/>
      <x:c r="B22" s="37" t="str">
        <x:v>QA Engineer</x:v>
      </x:c>
      <x:c r="C22" s="37"/>
      <x:c r="D22" s="37"/>
      <x:c r="E22" s="37"/>
      <x:c r="F22" s="37"/>
      <x:c r="G22" s="37"/>
    </x:row>
    <x:row r="23" ht="21" customHeight="1">
      <x:c r="A23" s="37"/>
      <x:c r="B23" s="37" t="str">
        <x:v>Recruiter</x:v>
      </x:c>
      <x:c r="C23" s="37"/>
      <x:c r="D23" s="37"/>
      <x:c r="E23" s="37"/>
      <x:c r="F23" s="37"/>
      <x:c r="G23" s="37"/>
    </x:row>
    <x:row r="24" ht="21" customHeight="1">
      <x:c r="A24" s="37"/>
      <x:c r="B24" s="37" t="str">
        <x:v>Regional Sales Executive</x:v>
      </x:c>
      <x:c r="C24" s="37"/>
      <x:c r="D24" s="37"/>
      <x:c r="E24" s="37"/>
      <x:c r="F24" s="37"/>
      <x:c r="G24" s="37"/>
    </x:row>
    <x:row r="25" ht="21" customHeight="1">
      <x:c r="A25" s="37"/>
      <x:c r="B25" s="37" t="str">
        <x:v>Sales Executive</x:v>
      </x:c>
      <x:c r="C25" s="37"/>
      <x:c r="D25" s="37"/>
      <x:c r="E25" s="37"/>
      <x:c r="F25" s="37"/>
      <x:c r="G25" s="37"/>
    </x:row>
    <x:row r="26" ht="21" customHeight="1">
      <x:c r="A26" s="37"/>
      <x:c r="B26" s="37" t="str">
        <x:v>Sales Manager</x:v>
      </x:c>
      <x:c r="C26" s="37"/>
      <x:c r="D26" s="37"/>
      <x:c r="E26" s="37"/>
      <x:c r="F26" s="37"/>
      <x:c r="G26" s="37"/>
    </x:row>
    <x:row r="27" ht="21" customHeight="1">
      <x:c r="A27" s="37"/>
      <x:c r="B27" s="37" t="str">
        <x:v>Sales Operations Analyst</x:v>
      </x:c>
      <x:c r="C27" s="37"/>
      <x:c r="D27" s="37"/>
      <x:c r="E27" s="37"/>
      <x:c r="F27" s="37"/>
      <x:c r="G27" s="37"/>
    </x:row>
    <x:row r="28" ht="21" customHeight="1">
      <x:c r="A28" s="37"/>
      <x:c r="B28" s="37" t="str">
        <x:v>Senior Accountant</x:v>
      </x:c>
      <x:c r="C28" s="37"/>
      <x:c r="D28" s="37"/>
      <x:c r="E28" s="37"/>
      <x:c r="F28" s="37"/>
      <x:c r="G28" s="37"/>
    </x:row>
    <x:row r="29" ht="21" customHeight="1">
      <x:c r="A29" s="37"/>
      <x:c r="B29" s="37" t="str">
        <x:v>Support Engineer</x:v>
      </x:c>
      <x:c r="C29" s="37"/>
      <x:c r="D29" s="37"/>
      <x:c r="E29" s="37"/>
      <x:c r="F29" s="37"/>
      <x:c r="G29" s="37"/>
    </x:row>
    <x:row r="30" ht="21" customHeight="1">
      <x:c r="A30" s="37"/>
      <x:c r="B30" s="37" t="str">
        <x:v>Talent Acquisition Specialist</x:v>
      </x:c>
      <x:c r="C30" s="37"/>
      <x:c r="D30" s="37"/>
      <x:c r="E30" s="37"/>
      <x:c r="F30" s="37"/>
      <x:c r="G30" s="37"/>
    </x:row>
    <x:row r="31" ht="21" customHeight="1">
      <x:c r="A31" s="37"/>
      <x:c r="B31" s="37" t="str">
        <x:v>Tax Analyst</x:v>
      </x:c>
      <x:c r="C31" s="37"/>
      <x:c r="D31" s="37"/>
      <x:c r="E31" s="37"/>
      <x:c r="F31" s="37"/>
      <x:c r="G31" s="37"/>
    </x:row>
    <x:row r="32" ht="21" customHeight="1">
      <x:c r="A32" s="37"/>
      <x:c r="B32" s="37" t="str">
        <x:v>Treasury Analyst</x:v>
      </x:c>
      <x:c r="C32" s="37"/>
      <x:c r="D32" s="37"/>
      <x:c r="E32" s="37"/>
      <x:c r="F32" s="37"/>
      <x:c r="G32" s="37"/>
    </x:row>
  </x:sheetData>
  <x:pageMargins left="0.7" right="0.7" top="0.75" bottom="0.75" header="0.3" footer="0.3"/>
</x:worksheet>
</file>